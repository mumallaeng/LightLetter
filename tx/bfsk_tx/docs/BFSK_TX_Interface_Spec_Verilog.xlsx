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orking\OnDeviceAi_2\01_PROJECT\01_FINAL_PROJECT\BFSK_Tx\docs\"/>
    </mc:Choice>
  </mc:AlternateContent>
  <bookViews>
    <workbookView xWindow="0" yWindow="0" windowWidth="23505" windowHeight="15105" activeTab="2"/>
  </bookViews>
  <sheets>
    <sheet name="개요" sheetId="1" r:id="rId1"/>
    <sheet name="공통 파라미터" sheetId="2" r:id="rId2"/>
    <sheet name="crc8" sheetId="3" r:id="rId3"/>
    <sheet name="tx_frame_generator" sheetId="4" r:id="rId4"/>
    <sheet name="bfsk_mapper" sheetId="5" r:id="rId5"/>
    <sheet name="bfsk_carrier_gen" sheetId="6" r:id="rId6"/>
    <sheet name="tx_fsm" sheetId="7" r:id="rId7"/>
    <sheet name="optical_tx_top" sheetId="8" r:id="rId8"/>
  </sheets>
  <calcPr calcId="162913"/>
</workbook>
</file>

<file path=xl/calcChain.xml><?xml version="1.0" encoding="utf-8"?>
<calcChain xmlns="http://schemas.openxmlformats.org/spreadsheetml/2006/main">
  <c r="B23" i="2" l="1"/>
  <c r="B24" i="2" s="1"/>
  <c r="B17" i="2"/>
  <c r="B16" i="2"/>
  <c r="B19" i="2" s="1"/>
  <c r="B14" i="2"/>
  <c r="B13" i="2"/>
  <c r="B12" i="2"/>
</calcChain>
</file>

<file path=xl/sharedStrings.xml><?xml version="1.0" encoding="utf-8"?>
<sst xmlns="http://schemas.openxmlformats.org/spreadsheetml/2006/main" count="927" uniqueCount="440">
  <si>
    <t>BFSK Optical TX RTL 인터페이스 명세서</t>
  </si>
  <si>
    <t>progress(2).md 기준 · Verilog-2001 (.v) 구현용 · 기준일 2026-09-11</t>
  </si>
  <si>
    <t>항목</t>
  </si>
  <si>
    <t>내용</t>
  </si>
  <si>
    <t>담당 범위</t>
  </si>
  <si>
    <t>CNN Result Interface부터 Optical TX GPIO 출력까지</t>
  </si>
  <si>
    <t>HDL</t>
  </si>
  <si>
    <t>Verilog-2001</t>
  </si>
  <si>
    <t>RTL 확장자</t>
  </si>
  <si>
    <t>.v</t>
  </si>
  <si>
    <t>공통 Header</t>
  </si>
  <si>
    <t>rtl/common/bfsk_params.vh</t>
  </si>
  <si>
    <t>현재 상태</t>
  </si>
  <si>
    <t>BFSK 구조 확정 / TX-RX 인터페이스 1차 Freeze / RTL 구현 전</t>
  </si>
  <si>
    <t>문서 기준</t>
  </si>
  <si>
    <t>확정 신호는 progress(2).md를 따르며 내부 제어 포트는 권장안으로 구분</t>
  </si>
  <si>
    <t>번호</t>
  </si>
  <si>
    <t>모듈</t>
  </si>
  <si>
    <t>파일명</t>
  </si>
  <si>
    <t>주요 역할</t>
  </si>
  <si>
    <t>인터페이스 기준</t>
  </si>
  <si>
    <t>구현 상태</t>
  </si>
  <si>
    <t>Testbench</t>
  </si>
  <si>
    <t>비고</t>
  </si>
  <si>
    <t>crc8</t>
  </si>
  <si>
    <t>crc8.v</t>
  </si>
  <si>
    <t>입력 Byte를 MSB First로 순차 누적하여 CRC-8을 계산한다.</t>
  </si>
  <si>
    <t>구현 확정 인터페이스</t>
  </si>
  <si>
    <t>PASS</t>
  </si>
  <si>
    <t>tb_crc8.v</t>
  </si>
  <si>
    <t>clk/rst/crc_init/data_valid 기반 · 00/41 → C0 PASS</t>
  </si>
  <si>
    <t>tx_frame_generator</t>
  </si>
  <si>
    <t>tx_frame_generator.v</t>
  </si>
  <si>
    <t>SFD, Frame ID, DATA, CRC를 32비트 직렬 Bit Stream으로 변환한다.</t>
  </si>
  <si>
    <t>1차 Freeze + 권장 내부 제어</t>
  </si>
  <si>
    <t>미구현</t>
  </si>
  <si>
    <t>tb_tx_frame_generator.v</t>
  </si>
  <si>
    <t>입력은 start에서 Latch하고, tx_bit_valid는 ready Handshake까지 유지한다.</t>
  </si>
  <si>
    <t>bfsk_mapper</t>
  </si>
  <si>
    <t>bfsk_mapper.v</t>
  </si>
  <si>
    <t>SYNC 요청 또는 Data Bit를 IDLE/BIT0/BIT1/SYNC Symbol Type으로 변환한다.</t>
  </si>
  <si>
    <t>tb_bfsk_mapper.v</t>
  </si>
  <si>
    <t>새 Symbol을 수락하면 symbol_done까지 Type과 Valid를 유지한다.</t>
  </si>
  <si>
    <t>bfsk_carrier_gen</t>
  </si>
  <si>
    <t>bfsk_carrier_gen.v</t>
  </si>
  <si>
    <t>Symbol Type에 따라 10/20/25 kHz Square-Wave Carrier를 512 Sample 기간 생성한다.</t>
  </si>
  <si>
    <t>1차 Freeze + Clock 세부 TBD</t>
  </si>
  <si>
    <t>tb_bfsk_carrier_gen.v</t>
  </si>
  <si>
    <t>System Clock이 확정되면 Divider/NCO 계산을 Parameter화한다.</t>
  </si>
  <si>
    <t>tx_fsm</t>
  </si>
  <si>
    <t>tx_fsm.v</t>
  </si>
  <si>
    <t>Character 입력 수락, Preamble 4 Symbol, Data Frame 송신, Frame ID 증가를 제어한다.</t>
  </si>
  <si>
    <t>권장 인터페이스</t>
  </si>
  <si>
    <t>tb_tx_fsm.v</t>
  </si>
  <si>
    <t>IDLE→LOAD_DATA→PREAMBLE→SEND_FRAME→FRAME_DONE 순서로 상위 제어한다.</t>
  </si>
  <si>
    <t>optical_tx_top</t>
  </si>
  <si>
    <t>optical_tx_top.v</t>
  </si>
  <si>
    <t>CRC, Frame Generator, Mapper, Carrier Generator, TX FSM을 연결하는 TX 최상위 모듈이다.</t>
  </si>
  <si>
    <t>외부 인터페이스 1차 Freeze</t>
  </si>
  <si>
    <t>tb_optical_tx_top.v</t>
  </si>
  <si>
    <t>하위 모듈 연결 출력은 Top에서 wire로 선언한다.</t>
  </si>
  <si>
    <t>Verilog 작성 규칙</t>
  </si>
  <si>
    <t>적용 내용</t>
  </si>
  <si>
    <t>1</t>
  </si>
  <si>
    <t>소스와 Testbench 확장자는 .v를 사용한다.</t>
  </si>
  <si>
    <t>2</t>
  </si>
  <si>
    <t>SystemVerilog 전용 logic, always_ff, always_comb 문법을 사용하지 않는다.</t>
  </si>
  <si>
    <t>3</t>
  </si>
  <si>
    <t>always 블록에서 할당하는 출력은 output reg, assign 또는 하위 모듈 연결 출력은 output wire로 선언한다.</t>
  </si>
  <si>
    <t>4</t>
  </si>
  <si>
    <t>조합논리는 always @* 또는 assign, 순차논리는 always @(posedge clk ...) 형식을 사용한다.</t>
  </si>
  <si>
    <t>5</t>
  </si>
  <si>
    <t>공통 상수는 bfsk_params.vh로 관리하고 TX/RX 값을 동일하게 유지한다.</t>
  </si>
  <si>
    <t>TX 데이터 흐름</t>
  </si>
  <si>
    <t>CNN char_id Handshake</t>
  </si>
  <si>
    <t>TX FSM Latch / Preamble</t>
  </si>
  <si>
    <t>Frame + CRC</t>
  </si>
  <si>
    <t>BFSK Carrier 출력</t>
  </si>
  <si>
    <t>입력</t>
  </si>
  <si>
    <t>char_id / char_valid / char_ready</t>
  </si>
  <si>
    <t>제어</t>
  </si>
  <si>
    <t>SYNC 4 Symbol 후 Frame 시작</t>
  </si>
  <si>
    <t>Payload</t>
  </si>
  <si>
    <t>SFD → ID → DATA → CRC</t>
  </si>
  <si>
    <t>출력</t>
  </si>
  <si>
    <t>10 / 20 / 25 kHz</t>
  </si>
  <si>
    <t>Bit Order</t>
  </si>
  <si>
    <t>MSB First</t>
  </si>
  <si>
    <t>Frame</t>
  </si>
  <si>
    <t>4 Preamble + 32 Data Symbol</t>
  </si>
  <si>
    <t>Symbol</t>
  </si>
  <si>
    <t>512 Sample / 3.2 ms</t>
  </si>
  <si>
    <t>Idle</t>
  </si>
  <si>
    <t>No Carrier</t>
  </si>
  <si>
    <t>광송신</t>
  </si>
  <si>
    <t>FPGA GPIO → Gate Resistor → 2N7000 → LED/Laser</t>
  </si>
  <si>
    <t>Source</t>
  </si>
  <si>
    <t>progress(2).md, 기준일 2026-09-11</t>
  </si>
  <si>
    <t>TX/RX 공통 파라미터</t>
  </si>
  <si>
    <t>TX와 RX에서 동일하게 유지해야 하는 기준값과 실험 후 변경 가능한 항목</t>
  </si>
  <si>
    <t>Parameter</t>
  </si>
  <si>
    <t>값</t>
  </si>
  <si>
    <t>단위/형식</t>
  </si>
  <si>
    <t>상태</t>
  </si>
  <si>
    <t>적용 파일</t>
  </si>
  <si>
    <t>설명</t>
  </si>
  <si>
    <t>FS_HZ</t>
  </si>
  <si>
    <t>sample/s</t>
  </si>
  <si>
    <t>초기 확정</t>
  </si>
  <si>
    <t>bfsk_params.vh</t>
  </si>
  <si>
    <t>XADC Sampling Rate</t>
  </si>
  <si>
    <t>FFT_N</t>
  </si>
  <si>
    <t>sample</t>
  </si>
  <si>
    <t>RX FFT Size</t>
  </si>
  <si>
    <t>F0_HZ</t>
  </si>
  <si>
    <t>Hz</t>
  </si>
  <si>
    <t>Bit 0 Carrier</t>
  </si>
  <si>
    <t>F1_HZ</t>
  </si>
  <si>
    <t>Bit 1 Carrier</t>
  </si>
  <si>
    <t>FSYNC_HZ</t>
  </si>
  <si>
    <t>Preamble SYNC Carrier</t>
  </si>
  <si>
    <t>F0_BIN</t>
  </si>
  <si>
    <t>bin</t>
  </si>
  <si>
    <t>계산</t>
  </si>
  <si>
    <t>F0_HZ / FS_HZ × FFT_N</t>
  </si>
  <si>
    <t>F1_BIN</t>
  </si>
  <si>
    <t>F1_HZ / FS_HZ × FFT_N</t>
  </si>
  <si>
    <t>FSYNC_BIN</t>
  </si>
  <si>
    <t>FSYNC_HZ / FS_HZ × FFT_N</t>
  </si>
  <si>
    <t>SYMBOL_SAMPLES</t>
  </si>
  <si>
    <t>1 Data Bit = 1 Symbol</t>
  </si>
  <si>
    <t>SYMBOL_TIME_MS</t>
  </si>
  <si>
    <t>ms</t>
  </si>
  <si>
    <t>문서 계산</t>
  </si>
  <si>
    <t>SYMBOL_SAMPLES / FS_HZ × 1000</t>
  </si>
  <si>
    <t>FFT_WINDOW_MS</t>
  </si>
  <si>
    <t>FFT_N / FS_HZ × 1000</t>
  </si>
  <si>
    <t>PREAMBLE_SYMBOLS</t>
  </si>
  <si>
    <t>symbol</t>
  </si>
  <si>
    <t>연속 SYNC Symbol 수</t>
  </si>
  <si>
    <t>PREAMBLE_TIME_MS</t>
  </si>
  <si>
    <t>PREAMBLE_SYMBOLS × SYMBOL_TIME_MS</t>
  </si>
  <si>
    <t>SFD</t>
  </si>
  <si>
    <t>8'hD5</t>
  </si>
  <si>
    <t>8-bit</t>
  </si>
  <si>
    <t>확정</t>
  </si>
  <si>
    <t>Start Frame Delimiter</t>
  </si>
  <si>
    <t>CRC_POLY</t>
  </si>
  <si>
    <t>8'h07</t>
  </si>
  <si>
    <t>x^8 + x^2 + x + 1</t>
  </si>
  <si>
    <t>FRAME_DATA_BITS</t>
  </si>
  <si>
    <t>bit</t>
  </si>
  <si>
    <t>SFD 8 + Frame ID 8 + DATA 8 + CRC 8</t>
  </si>
  <si>
    <t>TOTAL_SYMBOLS</t>
  </si>
  <si>
    <t>Preamble 4 + Data 32</t>
  </si>
  <si>
    <t>FRAME_TIME_MS</t>
  </si>
  <si>
    <t>전체 36 Symbol 전송 시간</t>
  </si>
  <si>
    <t>BIT_ORDER</t>
  </si>
  <si>
    <t>MSB_FIRST</t>
  </si>
  <si>
    <t>enum</t>
  </si>
  <si>
    <t>전체 TX/RX</t>
  </si>
  <si>
    <t>각 Byte의 bit[7]부터 전송</t>
  </si>
  <si>
    <t>IDLE_MODE</t>
  </si>
  <si>
    <t>NO_CARRIER</t>
  </si>
  <si>
    <t>광원 OFF 또는 회로 DC Bias</t>
  </si>
  <si>
    <t>SYS_CLK_HZ</t>
  </si>
  <si>
    <t>TBD</t>
  </si>
  <si>
    <t>전체 TX</t>
  </si>
  <si>
    <t>Top 설계 시 확정</t>
  </si>
  <si>
    <t>RESET_POLARITY</t>
  </si>
  <si>
    <t>active level</t>
  </si>
  <si>
    <t>THRESHOLD</t>
  </si>
  <si>
    <t>power</t>
  </si>
  <si>
    <t>실험 후</t>
  </si>
  <si>
    <t>RX</t>
  </si>
  <si>
    <t>Optical Noise 측정 후 확정</t>
  </si>
  <si>
    <t>SYNC_THRESHOLD</t>
  </si>
  <si>
    <t>Verilog Header 규칙</t>
  </si>
  <si>
    <t>사용 예</t>
  </si>
  <si>
    <t>`include "bfsk_params.vh"</t>
  </si>
  <si>
    <t>주의</t>
  </si>
  <si>
    <t>progress.md의 값이 바뀌면 TX와 RX Header를 동시에 갱신한다.</t>
  </si>
  <si>
    <t>crc8.v 인터페이스</t>
  </si>
  <si>
    <t>8비트 입력 Byte를 MSB First로 처리하고, 유효한 Byte마다 CRC-8 누적값을 갱신한다.</t>
  </si>
  <si>
    <t>문서 상태</t>
  </si>
  <si>
    <t>구현 완료</t>
  </si>
  <si>
    <t>구현 기준</t>
  </si>
  <si>
    <t>순차형 Byte 누적 CRC-8</t>
  </si>
  <si>
    <t>검증 상태</t>
  </si>
  <si>
    <t>Vivado/XSim PASS</t>
  </si>
  <si>
    <t>CRC 규격</t>
  </si>
  <si>
    <t>POLY=8'h07</t>
  </si>
  <si>
    <t>INIT=8'h00</t>
  </si>
  <si>
    <t>XOROUT=8'h00</t>
  </si>
  <si>
    <t>REFIN=false</t>
  </si>
  <si>
    <t>REFOUT=false</t>
  </si>
  <si>
    <t>비트 순서</t>
  </si>
  <si>
    <t>신호명</t>
  </si>
  <si>
    <t>방향</t>
  </si>
  <si>
    <t>비트폭</t>
  </si>
  <si>
    <t>Verilog 선언</t>
  </si>
  <si>
    <t>연결 대상</t>
  </si>
  <si>
    <t>유효 조건 / 타이밍</t>
  </si>
  <si>
    <t>근거</t>
  </si>
  <si>
    <t>clk</t>
  </si>
  <si>
    <t>IN</t>
  </si>
  <si>
    <t>input wire</t>
  </si>
  <si>
    <t>System Clock</t>
  </si>
  <si>
    <t>CRC 누적 레지스터 동작 Clock</t>
  </si>
  <si>
    <t>Rising Edge 기준</t>
  </si>
  <si>
    <t>구현 확정</t>
  </si>
  <si>
    <t>rst</t>
  </si>
  <si>
    <t>System Reset</t>
  </si>
  <si>
    <t>CRC 모듈 전체 초기화</t>
  </si>
  <si>
    <t>Active High 비동기 Reset</t>
  </si>
  <si>
    <t>crc_init</t>
  </si>
  <si>
    <t>새 프레임의 CRC 누적값 초기화</t>
  </si>
  <si>
    <t>Rising Edge에서 crc_out &lt;= INIT</t>
  </si>
  <si>
    <t>data_in</t>
  </si>
  <si>
    <t>[7:0]</t>
  </si>
  <si>
    <t>input wire [7:0]</t>
  </si>
  <si>
    <t>CRC에 반영할 입력 Byte</t>
  </si>
  <si>
    <t>data_valid=1인 Rising Edge에서 반영</t>
  </si>
  <si>
    <t>data_valid</t>
  </si>
  <si>
    <t>data_in Byte 유효 표시</t>
  </si>
  <si>
    <t>Frame ID와 DATA 입력 시 각각 1 Clock High</t>
  </si>
  <si>
    <t>crc_out</t>
  </si>
  <si>
    <t>OUT</t>
  </si>
  <si>
    <t>output reg [7:0]</t>
  </si>
  <si>
    <t>현재 누적 CRC-8 결과</t>
  </si>
  <si>
    <t>data_valid 처리 직후 갱신되고 다음 입력까지 유지</t>
  </si>
  <si>
    <t>모듈 파라미터</t>
  </si>
  <si>
    <t>기본값</t>
  </si>
  <si>
    <t>적용 대상</t>
  </si>
  <si>
    <t>변경 조건</t>
  </si>
  <si>
    <t>POLY</t>
  </si>
  <si>
    <t>parameter [7:0]</t>
  </si>
  <si>
    <t>CRC Feedback</t>
  </si>
  <si>
    <t>CRC-8 생성 다항식</t>
  </si>
  <si>
    <t>TX/RX 동시 변경</t>
  </si>
  <si>
    <t>INIT</t>
  </si>
  <si>
    <t>8'h00</t>
  </si>
  <si>
    <t>crc_out 초기화</t>
  </si>
  <si>
    <t>CRC 누적 초기값</t>
  </si>
  <si>
    <t>핵심 동작 규칙</t>
  </si>
  <si>
    <t>제어 우선순위는 rst → crc_init → data_valid → 현재 CRC 유지이다.</t>
  </si>
  <si>
    <t>crc_init과 data_valid는 같은 Clock에 동시에 Assert하지 않는다.</t>
  </si>
  <si>
    <t>Frame ID Byte를 먼저 입력하고 DATA Byte를 다음 Clock에 입력한다.</t>
  </si>
  <si>
    <t>각 Byte는 data_in[7]부터 data_in[0]까지 MSB First로 처리한다.</t>
  </si>
  <si>
    <t>CRC 계산 대상은 Frame ID + DATA이며 SYNC와 SFD는 제외한다.</t>
  </si>
  <si>
    <t>별도의 crc_done 포트는 사용하지 않고 tx_frame_generator의 고정 상태 순서로 완료 시점을 판단한다.</t>
  </si>
  <si>
    <t>최종 DATA Byte 처리 직후 crc_out은 Frame ID와 DATA가 모두 반영된 결과를 유지한다.</t>
  </si>
  <si>
    <t>Verilog-2001 모듈 헤더</t>
  </si>
  <si>
    <t>module crc8 #(
    parameter [7:0] POLY = 8'h07,
    parameter [7:0] INIT = 8'h00
) (
    input  wire       clk,
    input  wire       rst,
    input  wire       crc_init,
    input  wire [7:0] data_in,
    input  wire       data_valid,
    output reg  [7:0] crc_out
);</t>
  </si>
  <si>
    <t>입력 타이밍</t>
  </si>
  <si>
    <t>단계</t>
  </si>
  <si>
    <t>입력 의미</t>
  </si>
  <si>
    <t>crc_out 동작</t>
  </si>
  <si>
    <t>완료 판단</t>
  </si>
  <si>
    <t>CRC 초기화</t>
  </si>
  <si>
    <t>Don't Care</t>
  </si>
  <si>
    <t>새 프레임 시작</t>
  </si>
  <si>
    <t>INIT으로 초기화</t>
  </si>
  <si>
    <t>다음 상태에서 ID 입력</t>
  </si>
  <si>
    <t>ST_CRC_INIT</t>
  </si>
  <si>
    <t>Frame ID 처리</t>
  </si>
  <si>
    <t>frame_id_reg</t>
  </si>
  <si>
    <t>첫 번째 CRC Byte</t>
  </si>
  <si>
    <t>CRC(Frame ID)</t>
  </si>
  <si>
    <t>다음 상태에서 DATA 입력</t>
  </si>
  <si>
    <t>ST_CRC_ID</t>
  </si>
  <si>
    <t>DATA 처리</t>
  </si>
  <si>
    <t>data_reg</t>
  </si>
  <si>
    <t>두 번째 CRC Byte</t>
  </si>
  <si>
    <t>CRC(Frame ID + DATA)</t>
  </si>
  <si>
    <t>다음 상태에서 결과 사용</t>
  </si>
  <si>
    <t>ST_CRC_DATA</t>
  </si>
  <si>
    <t>결과 유지</t>
  </si>
  <si>
    <t>입력 없음</t>
  </si>
  <si>
    <t>최종 CRC 유지</t>
  </si>
  <si>
    <t>Frame Load</t>
  </si>
  <si>
    <t>ST_LOAD</t>
  </si>
  <si>
    <t>검증 기준</t>
  </si>
  <si>
    <t>Test Vector</t>
  </si>
  <si>
    <t>Frame ID</t>
  </si>
  <si>
    <t>DATA</t>
  </si>
  <si>
    <t>8'h41</t>
  </si>
  <si>
    <t>Expected CRC</t>
  </si>
  <si>
    <t>8'hC0</t>
  </si>
  <si>
    <t>tx_frame_generator.v 인터페이스</t>
  </si>
  <si>
    <t>범례</t>
  </si>
  <si>
    <t>확정: progress.md 직접 정의</t>
  </si>
  <si>
    <t>권장: 구현용 1차 제안</t>
  </si>
  <si>
    <t>TBD: Top/실험 후 확정</t>
  </si>
  <si>
    <t>Frame Generator 기준 Clock</t>
  </si>
  <si>
    <t>Rising Edge</t>
  </si>
  <si>
    <t>Frame Generator Reset</t>
  </si>
  <si>
    <t>Active Level TBD</t>
  </si>
  <si>
    <t>start</t>
  </si>
  <si>
    <t>Frame 직렬화 시작 명령</t>
  </si>
  <si>
    <t>IDLE 상태에서 1클럭 Pulse</t>
  </si>
  <si>
    <t>권장</t>
  </si>
  <si>
    <t>frame_id</t>
  </si>
  <si>
    <t>현재 Frame Sequence ID</t>
  </si>
  <si>
    <t>start 시점에 Latch</t>
  </si>
  <si>
    <t>data</t>
  </si>
  <si>
    <t>송신할 Character ID</t>
  </si>
  <si>
    <t>crc_in</t>
  </si>
  <si>
    <t>Frame ID와 DATA의 CRC-8</t>
  </si>
  <si>
    <t>start 이전에 유효</t>
  </si>
  <si>
    <t>tx_bit</t>
  </si>
  <si>
    <t>output reg</t>
  </si>
  <si>
    <t>현재 송신할 직렬 Data Bit</t>
  </si>
  <si>
    <t>tx_bit_valid=1일 때 유효</t>
  </si>
  <si>
    <t>tx_bit_valid</t>
  </si>
  <si>
    <t>tx_bit 유효 표시</t>
  </si>
  <si>
    <t>tx_bit_ready와 Handshake할 때까지 High 유지</t>
  </si>
  <si>
    <t>tx_bit_ready</t>
  </si>
  <si>
    <t>Mapper의 다음 Bit 수신 가능 표시</t>
  </si>
  <si>
    <t>valid &amp;&amp; ready에서 Bit 전달 완료</t>
  </si>
  <si>
    <t>frame_start</t>
  </si>
  <si>
    <t>tx_fsm / Debug</t>
  </si>
  <si>
    <t>실제 Frame Bit Stream 시작 알림</t>
  </si>
  <si>
    <t>Frame당 1클럭 Pulse</t>
  </si>
  <si>
    <t>frame_done</t>
  </si>
  <si>
    <t>CRC 마지막 Bit까지 전달 완료</t>
  </si>
  <si>
    <t>출력 순서는 SFD[7:0] → FRAME_ID[7:0] → DATA[7:0] → CRC[7:0]이다.</t>
  </si>
  <si>
    <t>모든 Byte는 bit[7]부터 bit[0]까지 MSB First로 출력한다.</t>
  </si>
  <si>
    <t>tx_bit_valid &amp;&amp; tx_bit_ready가 성립한 경우에만 다음 Bit로 이동한다.</t>
  </si>
  <si>
    <t>frame_done은 CRC bit[0] Handshake 완료 직후 1클럭 발생한다.</t>
  </si>
  <si>
    <t>Verilog-2001 모듈 헤더 예시</t>
  </si>
  <si>
    <t>module tx_frame_generator (
    input  wire       clk,
    input  wire       rst,
    input  wire       start,
    input  wire [7:0] frame_id,
    input  wire [7:0] data,
    input  wire [7:0] crc_in,
    output reg        tx_bit,
    output reg        tx_bit_valid,
    input  wire       tx_bit_ready,
    output reg        frame_start,
    output reg        frame_done
);</t>
  </si>
  <si>
    <t>위 선언은 인터페이스 고정을 위한 1차 기준이다. clk 주파수, Reset 극성, CRC 세부 방식은 RTL 작성 전에 확정한다.</t>
  </si>
  <si>
    <t>bfsk_mapper.v 인터페이스</t>
  </si>
  <si>
    <t>BFSK Mapper 기준 Clock</t>
  </si>
  <si>
    <t>Mapper Reset</t>
  </si>
  <si>
    <t>송신할 Data Bit</t>
  </si>
  <si>
    <t>Data Bit 유효 표시</t>
  </si>
  <si>
    <t>tx_bit_ready와 Handshake</t>
  </si>
  <si>
    <t>새 Data Bit 수신 가능 표시</t>
  </si>
  <si>
    <t>IDLE이며 sync_req=0일 때 High</t>
  </si>
  <si>
    <t>sync_req</t>
  </si>
  <si>
    <t>Preamble용 SYNC Symbol 요청</t>
  </si>
  <si>
    <t>PREAMBLE 상태에서 사용</t>
  </si>
  <si>
    <t>symbol_type</t>
  </si>
  <si>
    <t>[1:0]</t>
  </si>
  <si>
    <t>output reg [1:0]</t>
  </si>
  <si>
    <t>00 IDLE, 01 BIT0, 10 BIT1, 11 SYNC</t>
  </si>
  <si>
    <t>symbol_valid=1일 때 유효</t>
  </si>
  <si>
    <t>symbol_valid</t>
  </si>
  <si>
    <t>현재 Symbol 정보 유효 표시</t>
  </si>
  <si>
    <t>symbol_done까지 High 유지</t>
  </si>
  <si>
    <t>symbol_start</t>
  </si>
  <si>
    <t>새로운 Symbol 시작 Trigger</t>
  </si>
  <si>
    <t>Symbol당 1클럭 Pulse</t>
  </si>
  <si>
    <t>symbol_done</t>
  </si>
  <si>
    <t>현재 Symbol 출력 완료 알림</t>
  </si>
  <si>
    <t>sync_req=1이면 SYNC(2'b11)를 우선 생성한다.</t>
  </si>
  <si>
    <t>tx_bit=0은 BIT0(2'b01), tx_bit=1은 BIT1(2'b10)으로 변환한다.</t>
  </si>
  <si>
    <t>송신 요청이 없으면 IDLE(2'b00) 상태를 유지한다.</t>
  </si>
  <si>
    <t>한 Data Bit Handshake는 정확히 한 Symbol을 생성해야 한다.</t>
  </si>
  <si>
    <t>module bfsk_mapper (
    input  wire       clk,
    input  wire       rst,
    input  wire       tx_bit,
    input  wire       tx_bit_valid,
    output reg        tx_bit_ready,
    input  wire       sync_req,
    output reg  [1:0] symbol_type,
    output reg        symbol_valid,
    output reg        symbol_start,
    input  wire       symbol_done
);</t>
  </si>
  <si>
    <t>bfsk_carrier_gen.v 인터페이스</t>
  </si>
  <si>
    <t>Carrier 생성 기준 Clock</t>
  </si>
  <si>
    <t>Carrier Generator Reset</t>
  </si>
  <si>
    <t>input wire [1:0]</t>
  </si>
  <si>
    <t>출력할 IDLE/BIT0/BIT1/SYNC 종류</t>
  </si>
  <si>
    <t>Symbol 정보 유효 표시</t>
  </si>
  <si>
    <t>symbol_start 시점에 확인</t>
  </si>
  <si>
    <t>Symbol 출력 시작 Trigger</t>
  </si>
  <si>
    <t>bfsk_mapper / tx_fsm</t>
  </si>
  <si>
    <t>512 Sample 기간 출력 완료 알림</t>
  </si>
  <si>
    <t>optical_tx</t>
  </si>
  <si>
    <t>2N7000 Gate</t>
  </si>
  <si>
    <t>실제 BFSK Square-Wave GPIO 출력</t>
  </si>
  <si>
    <t>tx_enable=1일 때 Carrier 출력</t>
  </si>
  <si>
    <t>tx_enable</t>
  </si>
  <si>
    <t>Optical Driver</t>
  </si>
  <si>
    <t>광원 송신 활성화</t>
  </si>
  <si>
    <t>BIT0/BIT1/SYNC 동안 High</t>
  </si>
  <si>
    <t>2'b00 IDLE은 Carrier OFF, 2'b01은 10 kHz, 2'b10은 20 kHz, 2'b11은 25 kHz이다.</t>
  </si>
  <si>
    <t>1 Symbol은 Fs=160 kS/s 기준 512 Sample, 즉 3.2 ms이다.</t>
  </si>
  <si>
    <t>주파수와 Symbol 길이는 공통 Parameter로 관리한다.</t>
  </si>
  <si>
    <t>IDLE에서 optical_tx=0, tx_enable=0을 권장한다.</t>
  </si>
  <si>
    <t>module bfsk_carrier_gen (
    input  wire       clk,
    input  wire       rst,
    input  wire [1:0] symbol_type,
    input  wire       symbol_valid,
    input  wire       symbol_start,
    output reg        symbol_done,
    output reg        optical_tx,
    output reg        tx_enable
);</t>
  </si>
  <si>
    <t>tx_fsm.v 인터페이스</t>
  </si>
  <si>
    <t>TX FSM 기준 Clock</t>
  </si>
  <si>
    <t>TX FSM Reset</t>
  </si>
  <si>
    <t>char_id</t>
  </si>
  <si>
    <t>CNN</t>
  </si>
  <si>
    <t>CNN 인식 Character ID</t>
  </si>
  <si>
    <t>char_valid &amp;&amp; char_ready에서 Latch</t>
  </si>
  <si>
    <t>char_valid</t>
  </si>
  <si>
    <t>char_id 유효 표시</t>
  </si>
  <si>
    <t>char_ready와 Handshake</t>
  </si>
  <si>
    <t>char_ready</t>
  </si>
  <si>
    <t>TX의 새 Character 수신 가능 표시</t>
  </si>
  <si>
    <t>IDLE 상태에서 High</t>
  </si>
  <si>
    <t>tx_busy</t>
  </si>
  <si>
    <t>CNN / System</t>
  </si>
  <si>
    <t>현재 Frame 송신 중 표시</t>
  </si>
  <si>
    <t>입력 수락부터 송신 완료까지 High</t>
  </si>
  <si>
    <t>latched_char_id</t>
  </si>
  <si>
    <t>crc8 / tx_frame_generator</t>
  </si>
  <si>
    <t>송신용으로 저장한 Character ID</t>
  </si>
  <si>
    <t>한 Frame 동안 유지</t>
  </si>
  <si>
    <t>현재 Frame Sequence Number</t>
  </si>
  <si>
    <t>정상 Frame 완료 후 1 증가, FF 다음 00</t>
  </si>
  <si>
    <t>25 kHz Preamble Symbol 요청</t>
  </si>
  <si>
    <t>SYNC 또는 Data Symbol 출력 완료</t>
  </si>
  <si>
    <t>Preamble Count와 상태 전이에 사용</t>
  </si>
  <si>
    <t>frame_gen_start</t>
  </si>
  <si>
    <t>SFD~CRC 직렬화 시작 명령</t>
  </si>
  <si>
    <t>4번째 SYNC 완료 후 1클럭 Pulse</t>
  </si>
  <si>
    <t>32 Data Symbol 전송 완료</t>
  </si>
  <si>
    <t>char_valid &amp;&amp; char_ready에서 char_id를 latched_char_id에 저장한다.</t>
  </si>
  <si>
    <t>PREAMBLE에서 symbol_done을 4회 계수한 후 frame_gen_start를 발생시킨다.</t>
  </si>
  <si>
    <t>tx_busy 동안 char_ready=0으로 유지하여 새 입력을 받지 않는다.</t>
  </si>
  <si>
    <t>frame_id는 정상 송신 완료 후 8비트 Modulo 방식으로 1 증가한다.</t>
  </si>
  <si>
    <t>module tx_fsm (
    input  wire       clk,
    input  wire       rst,
    input  wire [7:0] char_id,
    input  wire       char_valid,
    output reg        char_ready,
    output reg        tx_busy,
    output reg  [7:0] latched_char_id,
    output reg  [7:0] frame_id,
    output reg        sync_req,
    input  wire       symbol_done,
    output reg        frame_gen_start,
    input  wire       frame_done
);</t>
  </si>
  <si>
    <t>optical_tx_top.v 인터페이스</t>
  </si>
  <si>
    <t>Zybo System Clock</t>
  </si>
  <si>
    <t>전체 TX RTL 기준 Clock</t>
  </si>
  <si>
    <t>TX 전체 모듈 초기화</t>
  </si>
  <si>
    <t>char_valid &amp;&amp; char_ready에서 수락</t>
  </si>
  <si>
    <t>output wire</t>
  </si>
  <si>
    <t>TX 입력 가능 표시</t>
  </si>
  <si>
    <t>새 Character 수신 가능 시 High</t>
  </si>
  <si>
    <t>TX Frame 송신 상태</t>
  </si>
  <si>
    <t>Frame 송신 중 High</t>
  </si>
  <si>
    <t>BFSK Carrier GPIO 출력</t>
  </si>
  <si>
    <t>송신 중 10/20/25 kHz 출력</t>
  </si>
  <si>
    <t>Optical Source Enable</t>
  </si>
  <si>
    <t>Carrier 출력 시 High</t>
  </si>
  <si>
    <t>외부 입력은 CNN Handshake와 System Clock/Reset으로 제한한다.</t>
  </si>
  <si>
    <t>optical_tx는 FPGA GPIO에서 Gate Resistor를 거쳐 2N7000 Gate에 연결한다.</t>
  </si>
  <si>
    <t>내부 공통 Parameter는 bfsk_params.vh에서 일치시킨다.</t>
  </si>
  <si>
    <t>Debug 신호가 필요하면 기능 포트와 분리하고 합성 전 유지 여부를 결정한다.</t>
  </si>
  <si>
    <t>module optical_tx_top (
    input  wire       clk,
    input  wire       rst,
    input  wire [7:0] char_id,
    input  wire       char_valid,
    output wire       char_ready,
    output wire       tx_busy,
    output wire       optical_tx,
    output wire       tx_enable
);</t>
  </si>
  <si>
    <r>
      <t xml:space="preserve">Source: Critical-mankind/BFSK_Tx main · rtl/tx/crc8.v · progress.md v1.3 · </t>
    </r>
    <r>
      <rPr>
        <i/>
        <sz val="9"/>
        <color rgb="FF6B5A00"/>
        <rFont val="돋움"/>
        <family val="3"/>
        <charset val="129"/>
      </rPr>
      <t>기준일</t>
    </r>
    <r>
      <rPr>
        <i/>
        <sz val="9"/>
        <color rgb="FF6B5A00"/>
        <rFont val="Arial"/>
        <family val="2"/>
      </rPr>
      <t xml:space="preserve"> 2026-09-15</t>
    </r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</si>
</sst>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###"/>
    <numFmt numFmtId="177" formatCode="0.0"/>
  </numFmts>
  <fonts count="18">
    <font>
      <sz val="11"/>
      <name val="Carlito"/>
    </font>
    <font>
      <sz val="10"/>
      <color rgb="FF1F2937"/>
      <name val="Arial"/>
      <family val="2"/>
    </font>
    <font>
      <b/>
      <sz val="15"/>
      <color rgb="FF17365D"/>
      <name val="Arial"/>
      <family val="2"/>
    </font>
    <font>
      <i/>
      <sz val="10"/>
      <color rgb="FF566573"/>
      <name val="Arial"/>
      <family val="2"/>
    </font>
    <font>
      <b/>
      <sz val="10"/>
      <color rgb="FFFFFFFF"/>
      <name val="Arial"/>
      <family val="2"/>
    </font>
    <font>
      <b/>
      <sz val="10"/>
      <color rgb="FF17365D"/>
      <name val="Arial"/>
      <family val="2"/>
    </font>
    <font>
      <b/>
      <sz val="10"/>
      <color rgb="FF7F6000"/>
      <name val="Arial"/>
      <family val="2"/>
    </font>
    <font>
      <i/>
      <sz val="9"/>
      <color rgb="FF666666"/>
      <name val="Arial"/>
      <family val="2"/>
    </font>
    <font>
      <sz val="10"/>
      <color rgb="FF1E293B"/>
      <name val="Courier New"/>
      <family val="3"/>
    </font>
    <font>
      <sz val="10"/>
      <color rgb="FF7F6000"/>
      <name val="Arial"/>
      <family val="2"/>
    </font>
    <font>
      <sz val="10"/>
      <color rgb="FF243447"/>
      <name val="Arial"/>
      <family val="2"/>
    </font>
    <font>
      <b/>
      <sz val="10"/>
      <color rgb="FF243447"/>
      <name val="Arial"/>
      <family val="2"/>
    </font>
    <font>
      <i/>
      <sz val="10"/>
      <color rgb="FF667788"/>
      <name val="Arial"/>
      <family val="2"/>
    </font>
    <font>
      <b/>
      <sz val="10"/>
      <color rgb="FF385723"/>
      <name val="Arial"/>
      <family val="2"/>
    </font>
    <font>
      <i/>
      <sz val="9"/>
      <color rgb="FF6B5A00"/>
      <name val="Arial"/>
      <family val="2"/>
    </font>
    <font>
      <sz val="11"/>
      <name val="Carlito"/>
    </font>
    <font>
      <sz val="8"/>
      <name val="돋움"/>
      <family val="3"/>
      <charset val="129"/>
    </font>
    <font>
      <i/>
      <sz val="9"/>
      <color rgb="FF6B5A00"/>
      <name val="돋움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rgb="FF2F75B5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7F9FB"/>
      </patternFill>
    </fill>
    <fill>
      <patternFill patternType="solid">
        <fgColor rgb="FFFFFFFF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EAF2F8"/>
      </patternFill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3F6F9"/>
      </patternFill>
    </fill>
    <fill>
      <patternFill patternType="solid">
        <fgColor rgb="FFFFF2CC"/>
      </patternFill>
    </fill>
  </fills>
  <borders count="31">
    <border>
      <left/>
      <right/>
      <top/>
      <bottom/>
      <diagonal/>
    </border>
    <border>
      <left/>
      <right/>
      <top/>
      <bottom style="medium">
        <color rgb="FF2F75B5"/>
      </bottom>
      <diagonal/>
    </border>
    <border>
      <left/>
      <right/>
      <top/>
      <bottom style="thin">
        <color rgb="FFB7C9D6"/>
      </bottom>
      <diagonal/>
    </border>
    <border>
      <left/>
      <right/>
      <top style="thin">
        <color rgb="FFB7C9D6"/>
      </top>
      <bottom style="thin">
        <color rgb="FFB7C9D6"/>
      </bottom>
      <diagonal/>
    </border>
    <border>
      <left/>
      <right style="thin">
        <color rgb="FFFFFFFF"/>
      </right>
      <top/>
      <bottom style="thin">
        <color rgb="FFB7C9D6"/>
      </bottom>
      <diagonal/>
    </border>
    <border>
      <left style="thin">
        <color rgb="FFFFFFFF"/>
      </left>
      <right/>
      <top/>
      <bottom style="thin">
        <color rgb="FFB7C9D6"/>
      </bottom>
      <diagonal/>
    </border>
    <border>
      <left style="thin">
        <color rgb="FFFFFFFF"/>
      </left>
      <right style="thin">
        <color rgb="FFFFFFFF"/>
      </right>
      <top/>
      <bottom style="thin">
        <color rgb="FFB7C9D6"/>
      </bottom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E6B800"/>
      </left>
      <right/>
      <top style="thin">
        <color rgb="FFE6B800"/>
      </top>
      <bottom style="thin">
        <color rgb="FFE6B800"/>
      </bottom>
      <diagonal/>
    </border>
    <border>
      <left/>
      <right/>
      <top style="thin">
        <color rgb="FFE6B800"/>
      </top>
      <bottom style="thin">
        <color rgb="FFE6B800"/>
      </bottom>
      <diagonal/>
    </border>
    <border>
      <left/>
      <right style="thin">
        <color rgb="FFE6B800"/>
      </right>
      <top style="thin">
        <color rgb="FFE6B800"/>
      </top>
      <bottom style="thin">
        <color rgb="FFE6B8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2F75B5"/>
      </bottom>
      <diagonal/>
    </border>
    <border>
      <left/>
      <right/>
      <top/>
      <bottom style="medium">
        <color rgb="FF2F75B5"/>
      </bottom>
      <diagonal/>
    </border>
    <border>
      <left/>
      <right/>
      <top/>
      <bottom style="medium">
        <color rgb="FF2F75B5"/>
      </bottom>
      <diagonal/>
    </border>
    <border>
      <left/>
      <right/>
      <top/>
      <bottom style="thin">
        <color rgb="FFB7C9D6"/>
      </bottom>
      <diagonal/>
    </border>
    <border>
      <left/>
      <right/>
      <top/>
      <bottom style="thin">
        <color rgb="FFB7C9D6"/>
      </bottom>
      <diagonal/>
    </border>
    <border>
      <left/>
      <right/>
      <top/>
      <bottom style="thin">
        <color rgb="FFB7C9D6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C9D7E5"/>
      </left>
      <right style="thin">
        <color rgb="FFC9D7E5"/>
      </right>
      <top style="thin">
        <color rgb="FFC9D7E5"/>
      </top>
      <bottom style="thin">
        <color rgb="FFC9D7E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9D7E5"/>
      </left>
      <right/>
      <top style="thin">
        <color rgb="FFC9D7E5"/>
      </top>
      <bottom style="thin">
        <color rgb="FFC9D7E5"/>
      </bottom>
      <diagonal/>
    </border>
    <border>
      <left/>
      <right/>
      <top style="thin">
        <color rgb="FFC9D7E5"/>
      </top>
      <bottom style="thin">
        <color rgb="FFC9D7E5"/>
      </bottom>
      <diagonal/>
    </border>
    <border>
      <left/>
      <right style="thin">
        <color rgb="FFC9D7E5"/>
      </right>
      <top style="thin">
        <color rgb="FFC9D7E5"/>
      </top>
      <bottom style="thin">
        <color rgb="FFC9D7E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5" fillId="0" borderId="0"/>
  </cellStyleXfs>
  <cellXfs count="90">
    <xf numFmtId="0" fontId="0" fillId="0" borderId="0" xfId="0"/>
    <xf numFmtId="0" fontId="1" fillId="0" borderId="0" xfId="1" applyNumberFormat="1" applyFont="1" applyFill="1" applyBorder="1" applyAlignment="1">
      <alignment vertical="center"/>
    </xf>
    <xf numFmtId="0" fontId="2" fillId="0" borderId="0" xfId="1" applyNumberFormat="1" applyFont="1" applyFill="1" applyBorder="1" applyAlignment="1">
      <alignment vertical="center"/>
    </xf>
    <xf numFmtId="0" fontId="1" fillId="0" borderId="1" xfId="1" applyNumberFormat="1" applyFont="1" applyFill="1" applyBorder="1" applyAlignment="1">
      <alignment vertical="center"/>
    </xf>
    <xf numFmtId="0" fontId="1" fillId="0" borderId="3" xfId="1" applyNumberFormat="1" applyFont="1" applyFill="1" applyBorder="1" applyAlignment="1">
      <alignment vertical="top" wrapText="1"/>
    </xf>
    <xf numFmtId="0" fontId="4" fillId="2" borderId="4" xfId="1" applyNumberFormat="1" applyFont="1" applyFill="1" applyBorder="1" applyAlignment="1">
      <alignment horizontal="center" vertical="center" wrapText="1"/>
    </xf>
    <xf numFmtId="0" fontId="4" fillId="2" borderId="5" xfId="1" applyNumberFormat="1" applyFont="1" applyFill="1" applyBorder="1" applyAlignment="1">
      <alignment horizontal="center" vertical="center" wrapText="1"/>
    </xf>
    <xf numFmtId="0" fontId="5" fillId="2" borderId="4" xfId="1" applyNumberFormat="1" applyFont="1" applyFill="1" applyBorder="1" applyAlignment="1">
      <alignment horizontal="center" vertical="center" wrapText="1"/>
    </xf>
    <xf numFmtId="0" fontId="5" fillId="0" borderId="3" xfId="1" applyNumberFormat="1" applyFont="1" applyFill="1" applyBorder="1" applyAlignment="1">
      <alignment vertical="top" wrapText="1"/>
    </xf>
    <xf numFmtId="0" fontId="4" fillId="2" borderId="6" xfId="1" applyNumberFormat="1" applyFont="1" applyFill="1" applyBorder="1" applyAlignment="1">
      <alignment horizontal="center" vertical="center" wrapText="1"/>
    </xf>
    <xf numFmtId="0" fontId="1" fillId="0" borderId="3" xfId="1" applyNumberFormat="1" applyFont="1" applyFill="1" applyBorder="1" applyAlignment="1">
      <alignment horizontal="center" vertical="top" wrapText="1"/>
    </xf>
    <xf numFmtId="0" fontId="6" fillId="3" borderId="3" xfId="1" applyNumberFormat="1" applyFont="1" applyFill="1" applyBorder="1" applyAlignment="1">
      <alignment vertical="top" wrapText="1"/>
    </xf>
    <xf numFmtId="0" fontId="4" fillId="4" borderId="0" xfId="1" applyNumberFormat="1" applyFont="1" applyFill="1" applyBorder="1" applyAlignment="1">
      <alignment vertical="center"/>
    </xf>
    <xf numFmtId="0" fontId="1" fillId="0" borderId="0" xfId="1" applyNumberFormat="1" applyFont="1" applyFill="1" applyBorder="1" applyAlignment="1">
      <alignment horizontal="center" vertical="center"/>
    </xf>
    <xf numFmtId="0" fontId="1" fillId="0" borderId="2" xfId="1" applyNumberFormat="1" applyFont="1" applyFill="1" applyBorder="1" applyAlignment="1">
      <alignment horizontal="center" vertical="center"/>
    </xf>
    <xf numFmtId="0" fontId="1" fillId="0" borderId="0" xfId="1" applyNumberFormat="1" applyFont="1" applyFill="1" applyBorder="1" applyAlignment="1">
      <alignment vertical="center" wrapText="1"/>
    </xf>
    <xf numFmtId="0" fontId="7" fillId="0" borderId="2" xfId="1" applyNumberFormat="1" applyFont="1" applyFill="1" applyBorder="1" applyAlignment="1">
      <alignment vertical="center" wrapText="1"/>
    </xf>
    <xf numFmtId="0" fontId="0" fillId="0" borderId="1" xfId="1" applyNumberFormat="1" applyFont="1" applyFill="1" applyBorder="1"/>
    <xf numFmtId="3" fontId="1" fillId="0" borderId="3" xfId="1" applyNumberFormat="1" applyFont="1" applyFill="1" applyBorder="1" applyAlignment="1">
      <alignment horizontal="right" vertical="top" wrapText="1"/>
    </xf>
    <xf numFmtId="177" fontId="1" fillId="0" borderId="3" xfId="1" applyNumberFormat="1" applyFont="1" applyFill="1" applyBorder="1" applyAlignment="1">
      <alignment horizontal="right" vertical="top" wrapText="1"/>
    </xf>
    <xf numFmtId="176" fontId="1" fillId="0" borderId="3" xfId="1" applyNumberFormat="1" applyFont="1" applyFill="1" applyBorder="1" applyAlignment="1">
      <alignment horizontal="right" vertical="top" wrapText="1"/>
    </xf>
    <xf numFmtId="0" fontId="5" fillId="0" borderId="0" xfId="1" applyNumberFormat="1" applyFont="1" applyFill="1" applyBorder="1" applyAlignment="1">
      <alignment vertical="center"/>
    </xf>
    <xf numFmtId="0" fontId="5" fillId="0" borderId="2" xfId="1" applyNumberFormat="1" applyFont="1" applyFill="1" applyBorder="1" applyAlignment="1">
      <alignment vertical="center"/>
    </xf>
    <xf numFmtId="0" fontId="1" fillId="5" borderId="0" xfId="1" applyNumberFormat="1" applyFont="1" applyFill="1" applyBorder="1" applyAlignment="1">
      <alignment vertical="center"/>
    </xf>
    <xf numFmtId="0" fontId="1" fillId="6" borderId="2" xfId="1" applyNumberFormat="1" applyFont="1" applyFill="1" applyBorder="1" applyAlignment="1">
      <alignment vertical="center"/>
    </xf>
    <xf numFmtId="0" fontId="1" fillId="5" borderId="2" xfId="1" applyNumberFormat="1" applyFont="1" applyFill="1" applyBorder="1" applyAlignment="1">
      <alignment vertical="center"/>
    </xf>
    <xf numFmtId="0" fontId="4" fillId="2" borderId="0" xfId="1" applyNumberFormat="1" applyFont="1" applyFill="1" applyBorder="1" applyAlignment="1">
      <alignment vertical="center"/>
    </xf>
    <xf numFmtId="0" fontId="6" fillId="3" borderId="8" xfId="1" applyNumberFormat="1" applyFont="1" applyFill="1" applyBorder="1" applyAlignment="1">
      <alignment vertical="center" wrapText="1"/>
    </xf>
    <xf numFmtId="0" fontId="1" fillId="8" borderId="22" xfId="1" applyNumberFormat="1" applyFont="1" applyFill="1" applyBorder="1" applyAlignment="1">
      <alignment vertical="center"/>
    </xf>
    <xf numFmtId="0" fontId="1" fillId="8" borderId="23" xfId="1" applyNumberFormat="1" applyFont="1" applyFill="1" applyBorder="1" applyAlignment="1">
      <alignment vertical="center"/>
    </xf>
    <xf numFmtId="0" fontId="1" fillId="8" borderId="24" xfId="1" applyNumberFormat="1" applyFont="1" applyFill="1" applyBorder="1" applyAlignment="1">
      <alignment vertical="center"/>
    </xf>
    <xf numFmtId="0" fontId="10" fillId="8" borderId="20" xfId="1" applyNumberFormat="1" applyFont="1" applyFill="1" applyBorder="1" applyAlignment="1">
      <alignment vertical="center" wrapText="1"/>
    </xf>
    <xf numFmtId="0" fontId="10" fillId="8" borderId="11" xfId="1" applyNumberFormat="1" applyFont="1" applyFill="1" applyBorder="1" applyAlignment="1">
      <alignment vertical="center" wrapText="1"/>
    </xf>
    <xf numFmtId="0" fontId="10" fillId="8" borderId="12" xfId="1" applyNumberFormat="1" applyFont="1" applyFill="1" applyBorder="1" applyAlignment="1">
      <alignment vertical="center" wrapText="1"/>
    </xf>
    <xf numFmtId="0" fontId="10" fillId="8" borderId="13" xfId="1" applyNumberFormat="1" applyFont="1" applyFill="1" applyBorder="1" applyAlignment="1">
      <alignment vertical="center" wrapText="1"/>
    </xf>
    <xf numFmtId="0" fontId="10" fillId="8" borderId="0" xfId="1" applyNumberFormat="1" applyFont="1" applyFill="1" applyAlignment="1">
      <alignment vertical="center" wrapText="1"/>
    </xf>
    <xf numFmtId="0" fontId="10" fillId="8" borderId="15" xfId="1" applyNumberFormat="1" applyFont="1" applyFill="1" applyBorder="1" applyAlignment="1">
      <alignment vertical="center" wrapText="1"/>
    </xf>
    <xf numFmtId="0" fontId="10" fillId="8" borderId="16" xfId="1" applyNumberFormat="1" applyFont="1" applyFill="1" applyBorder="1" applyAlignment="1">
      <alignment vertical="center" wrapText="1"/>
    </xf>
    <xf numFmtId="0" fontId="10" fillId="8" borderId="17" xfId="1" applyNumberFormat="1" applyFont="1" applyFill="1" applyBorder="1" applyAlignment="1">
      <alignment vertical="center" wrapText="1"/>
    </xf>
    <xf numFmtId="0" fontId="10" fillId="8" borderId="18" xfId="1" applyNumberFormat="1" applyFont="1" applyFill="1" applyBorder="1" applyAlignment="1">
      <alignment vertical="center" wrapText="1"/>
    </xf>
    <xf numFmtId="0" fontId="10" fillId="8" borderId="14" xfId="1" applyNumberFormat="1" applyFont="1" applyFill="1" applyBorder="1" applyAlignment="1">
      <alignment vertical="center" wrapText="1"/>
    </xf>
    <xf numFmtId="0" fontId="10" fillId="8" borderId="21" xfId="1" applyNumberFormat="1" applyFont="1" applyFill="1" applyBorder="1" applyAlignment="1">
      <alignment vertical="center" wrapText="1"/>
    </xf>
    <xf numFmtId="0" fontId="10" fillId="8" borderId="19" xfId="1" applyNumberFormat="1" applyFont="1" applyFill="1" applyBorder="1" applyAlignment="1">
      <alignment horizontal="center" vertical="center" wrapText="1"/>
    </xf>
    <xf numFmtId="0" fontId="11" fillId="8" borderId="25" xfId="1" applyNumberFormat="1" applyFont="1" applyFill="1" applyBorder="1" applyAlignment="1">
      <alignment vertical="center" wrapText="1"/>
    </xf>
    <xf numFmtId="0" fontId="10" fillId="8" borderId="25" xfId="1" applyNumberFormat="1" applyFont="1" applyFill="1" applyBorder="1" applyAlignment="1">
      <alignment vertical="center" wrapText="1"/>
    </xf>
    <xf numFmtId="0" fontId="5" fillId="9" borderId="25" xfId="1" applyNumberFormat="1" applyFont="1" applyFill="1" applyBorder="1" applyAlignment="1">
      <alignment vertical="center" wrapText="1"/>
    </xf>
    <xf numFmtId="0" fontId="13" fillId="10" borderId="25" xfId="1" applyNumberFormat="1" applyFont="1" applyFill="1" applyBorder="1" applyAlignment="1">
      <alignment vertical="center" wrapText="1"/>
    </xf>
    <xf numFmtId="0" fontId="10" fillId="11" borderId="25" xfId="1" applyNumberFormat="1" applyFont="1" applyFill="1" applyBorder="1" applyAlignment="1">
      <alignment vertical="center" wrapText="1"/>
    </xf>
    <xf numFmtId="0" fontId="4" fillId="12" borderId="26" xfId="1" applyNumberFormat="1" applyFont="1" applyFill="1" applyBorder="1" applyAlignment="1">
      <alignment horizontal="center" vertical="center" wrapText="1"/>
    </xf>
    <xf numFmtId="0" fontId="10" fillId="8" borderId="25" xfId="1" applyNumberFormat="1" applyFont="1" applyFill="1" applyBorder="1" applyAlignment="1">
      <alignment horizontal="center" vertical="center" wrapText="1"/>
    </xf>
    <xf numFmtId="0" fontId="4" fillId="12" borderId="25" xfId="1" applyNumberFormat="1" applyFont="1" applyFill="1" applyBorder="1" applyAlignment="1">
      <alignment horizontal="center" vertical="center" wrapText="1"/>
    </xf>
    <xf numFmtId="0" fontId="5" fillId="8" borderId="25" xfId="1" applyNumberFormat="1" applyFont="1" applyFill="1" applyBorder="1" applyAlignment="1">
      <alignment vertical="center" wrapText="1"/>
    </xf>
    <xf numFmtId="0" fontId="11" fillId="8" borderId="25" xfId="1" applyNumberFormat="1" applyFont="1" applyFill="1" applyBorder="1" applyAlignment="1">
      <alignment horizontal="center" vertical="center" wrapText="1"/>
    </xf>
    <xf numFmtId="0" fontId="13" fillId="10" borderId="25" xfId="1" applyNumberFormat="1" applyFont="1" applyFill="1" applyBorder="1" applyAlignment="1">
      <alignment horizontal="center" vertical="center" wrapText="1"/>
    </xf>
    <xf numFmtId="0" fontId="5" fillId="8" borderId="25" xfId="1" applyNumberFormat="1" applyFont="1" applyFill="1" applyBorder="1" applyAlignment="1">
      <alignment horizontal="center" vertical="center" wrapText="1"/>
    </xf>
    <xf numFmtId="0" fontId="13" fillId="10" borderId="3" xfId="1" applyNumberFormat="1" applyFont="1" applyFill="1" applyBorder="1" applyAlignment="1">
      <alignment vertical="top" wrapText="1"/>
    </xf>
    <xf numFmtId="0" fontId="3" fillId="0" borderId="0" xfId="1" applyNumberFormat="1" applyFont="1" applyFill="1" applyBorder="1" applyAlignment="1">
      <alignment vertical="center" wrapText="1"/>
    </xf>
    <xf numFmtId="0" fontId="1" fillId="0" borderId="0" xfId="1" applyNumberFormat="1" applyFont="1" applyFill="1" applyBorder="1" applyAlignment="1">
      <alignment vertical="center"/>
    </xf>
    <xf numFmtId="0" fontId="1" fillId="0" borderId="0" xfId="1" applyNumberFormat="1" applyFont="1" applyFill="1" applyBorder="1" applyAlignment="1">
      <alignment vertical="center" wrapText="1"/>
    </xf>
    <xf numFmtId="0" fontId="1" fillId="0" borderId="2" xfId="1" applyNumberFormat="1" applyFont="1" applyFill="1" applyBorder="1" applyAlignment="1">
      <alignment vertical="center" wrapText="1"/>
    </xf>
    <xf numFmtId="0" fontId="1" fillId="0" borderId="2" xfId="1" applyNumberFormat="1" applyFont="1" applyFill="1" applyBorder="1" applyAlignment="1">
      <alignment vertical="center"/>
    </xf>
    <xf numFmtId="0" fontId="7" fillId="0" borderId="2" xfId="1" applyNumberFormat="1" applyFont="1" applyFill="1" applyBorder="1" applyAlignment="1">
      <alignment vertical="center" wrapText="1"/>
    </xf>
    <xf numFmtId="0" fontId="0" fillId="0" borderId="0" xfId="0"/>
    <xf numFmtId="0" fontId="2" fillId="8" borderId="14" xfId="1" applyNumberFormat="1" applyFont="1" applyFill="1" applyBorder="1" applyAlignment="1">
      <alignment vertical="center" wrapText="1"/>
    </xf>
    <xf numFmtId="0" fontId="2" fillId="8" borderId="0" xfId="1" applyNumberFormat="1" applyFont="1" applyFill="1" applyAlignment="1">
      <alignment vertical="center" wrapText="1"/>
    </xf>
    <xf numFmtId="0" fontId="2" fillId="8" borderId="15" xfId="1" applyNumberFormat="1" applyFont="1" applyFill="1" applyBorder="1" applyAlignment="1">
      <alignment vertical="center" wrapText="1"/>
    </xf>
    <xf numFmtId="0" fontId="12" fillId="8" borderId="14" xfId="1" applyNumberFormat="1" applyFont="1" applyFill="1" applyBorder="1" applyAlignment="1">
      <alignment vertical="center" wrapText="1"/>
    </xf>
    <xf numFmtId="0" fontId="12" fillId="8" borderId="0" xfId="1" applyNumberFormat="1" applyFont="1" applyFill="1" applyAlignment="1">
      <alignment vertical="center" wrapText="1"/>
    </xf>
    <xf numFmtId="0" fontId="12" fillId="8" borderId="15" xfId="1" applyNumberFormat="1" applyFont="1" applyFill="1" applyBorder="1" applyAlignment="1">
      <alignment vertical="center" wrapText="1"/>
    </xf>
    <xf numFmtId="0" fontId="4" fillId="13" borderId="19" xfId="1" applyNumberFormat="1" applyFont="1" applyFill="1" applyBorder="1" applyAlignment="1">
      <alignment horizontal="center" vertical="center" wrapText="1"/>
    </xf>
    <xf numFmtId="0" fontId="4" fillId="13" borderId="20" xfId="1" applyNumberFormat="1" applyFont="1" applyFill="1" applyBorder="1" applyAlignment="1">
      <alignment vertical="center" wrapText="1"/>
    </xf>
    <xf numFmtId="0" fontId="4" fillId="13" borderId="21" xfId="1" applyNumberFormat="1" applyFont="1" applyFill="1" applyBorder="1" applyAlignment="1">
      <alignment vertical="center" wrapText="1"/>
    </xf>
    <xf numFmtId="0" fontId="4" fillId="13" borderId="14" xfId="1" applyNumberFormat="1" applyFont="1" applyFill="1" applyBorder="1" applyAlignment="1">
      <alignment vertical="center" wrapText="1"/>
    </xf>
    <xf numFmtId="0" fontId="4" fillId="13" borderId="0" xfId="1" applyNumberFormat="1" applyFont="1" applyFill="1" applyAlignment="1">
      <alignment vertical="center" wrapText="1"/>
    </xf>
    <xf numFmtId="0" fontId="4" fillId="13" borderId="15" xfId="1" applyNumberFormat="1" applyFont="1" applyFill="1" applyBorder="1" applyAlignment="1">
      <alignment vertical="center" wrapText="1"/>
    </xf>
    <xf numFmtId="0" fontId="4" fillId="12" borderId="14" xfId="1" applyNumberFormat="1" applyFont="1" applyFill="1" applyBorder="1" applyAlignment="1">
      <alignment vertical="center" wrapText="1"/>
    </xf>
    <xf numFmtId="0" fontId="4" fillId="12" borderId="0" xfId="1" applyNumberFormat="1" applyFont="1" applyFill="1" applyAlignment="1">
      <alignment vertical="center" wrapText="1"/>
    </xf>
    <xf numFmtId="0" fontId="4" fillId="12" borderId="15" xfId="1" applyNumberFormat="1" applyFont="1" applyFill="1" applyBorder="1" applyAlignment="1">
      <alignment vertical="center" wrapText="1"/>
    </xf>
    <xf numFmtId="0" fontId="1" fillId="14" borderId="27" xfId="1" applyNumberFormat="1" applyFont="1" applyFill="1" applyBorder="1" applyAlignment="1">
      <alignment vertical="top" wrapText="1"/>
    </xf>
    <xf numFmtId="0" fontId="1" fillId="14" borderId="28" xfId="1" applyNumberFormat="1" applyFont="1" applyFill="1" applyBorder="1" applyAlignment="1">
      <alignment vertical="top" wrapText="1"/>
    </xf>
    <xf numFmtId="0" fontId="1" fillId="14" borderId="29" xfId="1" applyNumberFormat="1" applyFont="1" applyFill="1" applyBorder="1" applyAlignment="1">
      <alignment vertical="top" wrapText="1"/>
    </xf>
    <xf numFmtId="0" fontId="14" fillId="15" borderId="14" xfId="1" applyNumberFormat="1" applyFont="1" applyFill="1" applyBorder="1" applyAlignment="1">
      <alignment vertical="center" wrapText="1"/>
    </xf>
    <xf numFmtId="0" fontId="14" fillId="15" borderId="0" xfId="1" applyNumberFormat="1" applyFont="1" applyFill="1" applyAlignment="1">
      <alignment vertical="center" wrapText="1"/>
    </xf>
    <xf numFmtId="0" fontId="14" fillId="15" borderId="15" xfId="1" applyNumberFormat="1" applyFont="1" applyFill="1" applyBorder="1" applyAlignment="1">
      <alignment vertical="center" wrapText="1"/>
    </xf>
    <xf numFmtId="0" fontId="1" fillId="3" borderId="2" xfId="1" applyNumberFormat="1" applyFont="1" applyFill="1" applyBorder="1" applyAlignment="1">
      <alignment vertical="center"/>
    </xf>
    <xf numFmtId="0" fontId="8" fillId="7" borderId="7" xfId="1" applyNumberFormat="1" applyFont="1" applyFill="1" applyBorder="1" applyAlignment="1">
      <alignment vertical="top" wrapText="1"/>
    </xf>
    <xf numFmtId="0" fontId="9" fillId="3" borderId="9" xfId="1" applyNumberFormat="1" applyFont="1" applyFill="1" applyBorder="1" applyAlignment="1">
      <alignment vertical="center" wrapText="1"/>
    </xf>
    <xf numFmtId="0" fontId="9" fillId="3" borderId="10" xfId="1" applyNumberFormat="1" applyFont="1" applyFill="1" applyBorder="1" applyAlignment="1">
      <alignment vertical="center" wrapText="1"/>
    </xf>
    <xf numFmtId="0" fontId="5" fillId="8" borderId="30" xfId="1" applyNumberFormat="1" applyFont="1" applyFill="1" applyBorder="1" applyAlignment="1">
      <alignment horizontal="center" vertical="center" wrapText="1"/>
    </xf>
    <xf numFmtId="0" fontId="10" fillId="8" borderId="30" xfId="1" applyNumberFormat="1" applyFont="1" applyFill="1" applyBorder="1" applyAlignment="1">
      <alignment vertical="center" wrapText="1"/>
    </xf>
  </cellXfs>
  <cellStyles count="2">
    <cellStyle name="Normal" xfId="1"/>
    <cellStyle name="표준" xfId="0" builtinId="0"/>
  </cellStyles>
  <dxfs count="24">
    <dxf>
      <font>
        <b/>
        <color rgb="FF7F6000"/>
      </font>
      <fill>
        <patternFill>
          <bgColor rgb="FFFFF2CC"/>
        </patternFill>
      </fill>
    </dxf>
    <dxf>
      <font>
        <b/>
        <color rgb="FF17365D"/>
      </font>
      <fill>
        <patternFill>
          <bgColor rgb="FFD9EAF7"/>
        </patternFill>
      </fill>
    </dxf>
    <dxf>
      <font>
        <b/>
        <color rgb="FF375623"/>
      </font>
      <fill>
        <patternFill>
          <bgColor rgb="FFE2F0D9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17365D"/>
      </font>
      <fill>
        <patternFill>
          <bgColor rgb="FFD9EAF7"/>
        </patternFill>
      </fill>
    </dxf>
    <dxf>
      <font>
        <b/>
        <color rgb="FF375623"/>
      </font>
      <fill>
        <patternFill>
          <bgColor rgb="FFE2F0D9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17365D"/>
      </font>
      <fill>
        <patternFill>
          <bgColor rgb="FFD9EAF7"/>
        </patternFill>
      </fill>
    </dxf>
    <dxf>
      <font>
        <b/>
        <color rgb="FF375623"/>
      </font>
      <fill>
        <patternFill>
          <bgColor rgb="FFE2F0D9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17365D"/>
      </font>
      <fill>
        <patternFill>
          <bgColor rgb="FFD9EAF7"/>
        </patternFill>
      </fill>
    </dxf>
    <dxf>
      <font>
        <b/>
        <color rgb="FF375623"/>
      </font>
      <fill>
        <patternFill>
          <bgColor rgb="FFE2F0D9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17365D"/>
      </font>
      <fill>
        <patternFill>
          <bgColor rgb="FFD9EAF7"/>
        </patternFill>
      </fill>
    </dxf>
    <dxf>
      <font>
        <b/>
        <color rgb="FF375623"/>
      </font>
      <fill>
        <patternFill>
          <bgColor rgb="FFE2F0D9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17365D"/>
      </font>
      <fill>
        <patternFill>
          <bgColor rgb="FFD9EAF7"/>
        </patternFill>
      </fill>
    </dxf>
    <dxf>
      <font>
        <b/>
        <color rgb="FF375623"/>
      </font>
      <fill>
        <patternFill>
          <bgColor rgb="FFE2F0D9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17365D"/>
      </font>
      <fill>
        <patternFill>
          <bgColor rgb="FFD9EAF7"/>
        </patternFill>
      </fill>
    </dxf>
    <dxf>
      <font>
        <b/>
        <color rgb="FF375623"/>
      </font>
      <fill>
        <patternFill>
          <bgColor rgb="FFE2F0D9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17365D"/>
      </font>
      <fill>
        <patternFill>
          <bgColor rgb="FFD9EAF7"/>
        </patternFill>
      </fill>
    </dxf>
    <dxf>
      <font>
        <b/>
        <color rgb="FF375623"/>
      </font>
      <fill>
        <patternFill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7365D"/>
  </sheetPr>
  <dimension ref="A1:H37"/>
  <sheetViews>
    <sheetView showGridLines="0" workbookViewId="0">
      <pane ySplit="4" topLeftCell="A5" activePane="bottomLeft" state="frozen"/>
      <selection pane="bottomLeft"/>
    </sheetView>
  </sheetViews>
  <sheetFormatPr defaultRowHeight="14.25"/>
  <cols>
    <col min="1" max="1" width="11" customWidth="1"/>
    <col min="2" max="3" width="24" customWidth="1"/>
    <col min="4" max="4" width="38" customWidth="1"/>
    <col min="5" max="5" width="25" customWidth="1"/>
    <col min="6" max="6" width="13" customWidth="1"/>
    <col min="7" max="7" width="27" customWidth="1"/>
    <col min="8" max="8" width="42" customWidth="1"/>
  </cols>
  <sheetData>
    <row r="1" spans="1:8" ht="21.95" customHeight="1">
      <c r="A1" s="1"/>
      <c r="B1" s="1"/>
      <c r="C1" s="1"/>
      <c r="D1" s="1"/>
      <c r="E1" s="1"/>
      <c r="F1" s="1"/>
      <c r="G1" s="1"/>
      <c r="H1" s="1"/>
    </row>
    <row r="2" spans="1:8" ht="21.95" customHeight="1">
      <c r="A2" s="2" t="s">
        <v>0</v>
      </c>
      <c r="B2" s="1"/>
      <c r="C2" s="1"/>
      <c r="D2" s="1"/>
      <c r="E2" s="1"/>
      <c r="F2" s="1"/>
      <c r="G2" s="1"/>
      <c r="H2" s="1"/>
    </row>
    <row r="3" spans="1:8" ht="21.95" customHeight="1">
      <c r="A3" s="3"/>
      <c r="B3" s="3"/>
      <c r="C3" s="3"/>
      <c r="D3" s="3"/>
      <c r="E3" s="3"/>
      <c r="F3" s="3"/>
      <c r="G3" s="3"/>
      <c r="H3" s="3"/>
    </row>
    <row r="4" spans="1:8" ht="33.950000000000003" customHeight="1">
      <c r="A4" s="56" t="s">
        <v>1</v>
      </c>
      <c r="B4" s="57"/>
      <c r="C4" s="57"/>
      <c r="D4" s="57"/>
      <c r="E4" s="57"/>
      <c r="F4" s="57"/>
      <c r="G4" s="57"/>
      <c r="H4" s="57"/>
    </row>
    <row r="5" spans="1:8" ht="21.95" customHeight="1">
      <c r="A5" s="1"/>
      <c r="B5" s="1"/>
      <c r="C5" s="1"/>
      <c r="D5" s="1"/>
      <c r="E5" s="1"/>
      <c r="F5" s="1"/>
      <c r="G5" s="1"/>
      <c r="H5" s="1"/>
    </row>
    <row r="6" spans="1:8" ht="21.95" customHeight="1">
      <c r="A6" s="7" t="s">
        <v>2</v>
      </c>
      <c r="B6" s="6" t="s">
        <v>3</v>
      </c>
      <c r="C6" s="1"/>
      <c r="D6" s="1"/>
      <c r="E6" s="1"/>
      <c r="F6" s="1"/>
      <c r="G6" s="1"/>
      <c r="H6" s="1"/>
    </row>
    <row r="7" spans="1:8" ht="21.95" customHeight="1">
      <c r="A7" s="8" t="s">
        <v>4</v>
      </c>
      <c r="B7" s="4" t="s">
        <v>5</v>
      </c>
      <c r="C7" s="1"/>
      <c r="D7" s="1"/>
      <c r="E7" s="1"/>
      <c r="F7" s="1"/>
      <c r="G7" s="1"/>
      <c r="H7" s="1"/>
    </row>
    <row r="8" spans="1:8" ht="21.95" customHeight="1">
      <c r="A8" s="8" t="s">
        <v>6</v>
      </c>
      <c r="B8" s="4" t="s">
        <v>7</v>
      </c>
      <c r="C8" s="1"/>
      <c r="D8" s="1"/>
      <c r="E8" s="1"/>
      <c r="F8" s="1"/>
      <c r="G8" s="1"/>
      <c r="H8" s="1"/>
    </row>
    <row r="9" spans="1:8" ht="21.95" customHeight="1">
      <c r="A9" s="8" t="s">
        <v>8</v>
      </c>
      <c r="B9" s="4" t="s">
        <v>9</v>
      </c>
      <c r="C9" s="1"/>
      <c r="D9" s="1"/>
      <c r="E9" s="1"/>
      <c r="F9" s="1"/>
      <c r="G9" s="1"/>
      <c r="H9" s="1"/>
    </row>
    <row r="10" spans="1:8" ht="21.95" customHeight="1">
      <c r="A10" s="8" t="s">
        <v>10</v>
      </c>
      <c r="B10" s="4" t="s">
        <v>11</v>
      </c>
      <c r="C10" s="1"/>
      <c r="D10" s="1"/>
      <c r="E10" s="1"/>
      <c r="F10" s="1"/>
      <c r="G10" s="1"/>
      <c r="H10" s="1"/>
    </row>
    <row r="11" spans="1:8" ht="21.95" customHeight="1">
      <c r="A11" s="8" t="s">
        <v>12</v>
      </c>
      <c r="B11" s="4" t="s">
        <v>13</v>
      </c>
      <c r="C11" s="1"/>
      <c r="D11" s="1"/>
      <c r="E11" s="1"/>
      <c r="F11" s="1"/>
      <c r="G11" s="1"/>
      <c r="H11" s="1"/>
    </row>
    <row r="12" spans="1:8" ht="21.95" customHeight="1">
      <c r="A12" s="8" t="s">
        <v>14</v>
      </c>
      <c r="B12" s="4" t="s">
        <v>15</v>
      </c>
      <c r="C12" s="1"/>
      <c r="D12" s="1"/>
      <c r="E12" s="1"/>
      <c r="F12" s="1"/>
      <c r="G12" s="1"/>
      <c r="H12" s="1"/>
    </row>
    <row r="13" spans="1:8" ht="21.95" customHeight="1">
      <c r="A13" s="1"/>
      <c r="B13" s="1"/>
      <c r="C13" s="1"/>
      <c r="D13" s="1"/>
      <c r="E13" s="1"/>
      <c r="F13" s="1"/>
      <c r="G13" s="1"/>
      <c r="H13" s="1"/>
    </row>
    <row r="14" spans="1:8" ht="21.95" customHeight="1">
      <c r="A14" s="1"/>
      <c r="B14" s="1"/>
      <c r="C14" s="1"/>
      <c r="D14" s="1"/>
      <c r="E14" s="1"/>
      <c r="F14" s="1"/>
      <c r="G14" s="1"/>
      <c r="H14" s="1"/>
    </row>
    <row r="15" spans="1:8" ht="44.1" customHeight="1">
      <c r="A15" s="5" t="s">
        <v>16</v>
      </c>
      <c r="B15" s="9" t="s">
        <v>17</v>
      </c>
      <c r="C15" s="9" t="s">
        <v>18</v>
      </c>
      <c r="D15" s="9" t="s">
        <v>19</v>
      </c>
      <c r="E15" s="9" t="s">
        <v>20</v>
      </c>
      <c r="F15" s="9" t="s">
        <v>21</v>
      </c>
      <c r="G15" s="9" t="s">
        <v>22</v>
      </c>
      <c r="H15" s="6" t="s">
        <v>23</v>
      </c>
    </row>
    <row r="16" spans="1:8" ht="44.1" customHeight="1">
      <c r="A16" s="10">
        <v>1</v>
      </c>
      <c r="B16" s="4" t="s">
        <v>24</v>
      </c>
      <c r="C16" s="4" t="s">
        <v>25</v>
      </c>
      <c r="D16" s="4" t="s">
        <v>26</v>
      </c>
      <c r="E16" s="4" t="s">
        <v>27</v>
      </c>
      <c r="F16" s="55" t="s">
        <v>28</v>
      </c>
      <c r="G16" s="4" t="s">
        <v>29</v>
      </c>
      <c r="H16" s="4" t="s">
        <v>30</v>
      </c>
    </row>
    <row r="17" spans="1:8" ht="44.1" customHeight="1">
      <c r="A17" s="10">
        <v>2</v>
      </c>
      <c r="B17" s="4" t="s">
        <v>31</v>
      </c>
      <c r="C17" s="4" t="s">
        <v>32</v>
      </c>
      <c r="D17" s="4" t="s">
        <v>33</v>
      </c>
      <c r="E17" s="4" t="s">
        <v>34</v>
      </c>
      <c r="F17" s="11" t="s">
        <v>35</v>
      </c>
      <c r="G17" s="4" t="s">
        <v>36</v>
      </c>
      <c r="H17" s="4" t="s">
        <v>37</v>
      </c>
    </row>
    <row r="18" spans="1:8" ht="44.1" customHeight="1">
      <c r="A18" s="10">
        <v>3</v>
      </c>
      <c r="B18" s="4" t="s">
        <v>38</v>
      </c>
      <c r="C18" s="4" t="s">
        <v>39</v>
      </c>
      <c r="D18" s="4" t="s">
        <v>40</v>
      </c>
      <c r="E18" s="4" t="s">
        <v>34</v>
      </c>
      <c r="F18" s="11" t="s">
        <v>35</v>
      </c>
      <c r="G18" s="4" t="s">
        <v>41</v>
      </c>
      <c r="H18" s="4" t="s">
        <v>42</v>
      </c>
    </row>
    <row r="19" spans="1:8" ht="44.1" customHeight="1">
      <c r="A19" s="10">
        <v>4</v>
      </c>
      <c r="B19" s="4" t="s">
        <v>43</v>
      </c>
      <c r="C19" s="4" t="s">
        <v>44</v>
      </c>
      <c r="D19" s="4" t="s">
        <v>45</v>
      </c>
      <c r="E19" s="4" t="s">
        <v>46</v>
      </c>
      <c r="F19" s="11" t="s">
        <v>35</v>
      </c>
      <c r="G19" s="4" t="s">
        <v>47</v>
      </c>
      <c r="H19" s="4" t="s">
        <v>48</v>
      </c>
    </row>
    <row r="20" spans="1:8" ht="44.1" customHeight="1">
      <c r="A20" s="10">
        <v>5</v>
      </c>
      <c r="B20" s="4" t="s">
        <v>49</v>
      </c>
      <c r="C20" s="4" t="s">
        <v>50</v>
      </c>
      <c r="D20" s="4" t="s">
        <v>51</v>
      </c>
      <c r="E20" s="4" t="s">
        <v>52</v>
      </c>
      <c r="F20" s="11" t="s">
        <v>35</v>
      </c>
      <c r="G20" s="4" t="s">
        <v>53</v>
      </c>
      <c r="H20" s="4" t="s">
        <v>54</v>
      </c>
    </row>
    <row r="21" spans="1:8" ht="44.1" customHeight="1">
      <c r="A21" s="10">
        <v>6</v>
      </c>
      <c r="B21" s="4" t="s">
        <v>55</v>
      </c>
      <c r="C21" s="4" t="s">
        <v>56</v>
      </c>
      <c r="D21" s="4" t="s">
        <v>57</v>
      </c>
      <c r="E21" s="4" t="s">
        <v>58</v>
      </c>
      <c r="F21" s="11" t="s">
        <v>35</v>
      </c>
      <c r="G21" s="4" t="s">
        <v>59</v>
      </c>
      <c r="H21" s="4" t="s">
        <v>60</v>
      </c>
    </row>
    <row r="22" spans="1:8" ht="21.95" customHeight="1">
      <c r="A22" s="1"/>
      <c r="B22" s="1"/>
      <c r="C22" s="1"/>
      <c r="D22" s="1"/>
      <c r="E22" s="1"/>
      <c r="F22" s="1"/>
      <c r="G22" s="1"/>
      <c r="H22" s="1"/>
    </row>
    <row r="23" spans="1:8" ht="21.95" customHeight="1">
      <c r="A23" s="1"/>
      <c r="B23" s="1"/>
      <c r="C23" s="1"/>
      <c r="D23" s="1"/>
      <c r="E23" s="1"/>
      <c r="F23" s="1"/>
      <c r="G23" s="1"/>
      <c r="H23" s="1"/>
    </row>
    <row r="24" spans="1:8" ht="21.95" customHeight="1">
      <c r="A24" s="12" t="s">
        <v>61</v>
      </c>
      <c r="B24" s="12" t="s">
        <v>62</v>
      </c>
      <c r="C24" s="12"/>
      <c r="D24" s="12"/>
      <c r="E24" s="12"/>
      <c r="F24" s="12"/>
      <c r="G24" s="12"/>
      <c r="H24" s="12"/>
    </row>
    <row r="25" spans="1:8" ht="21.95" customHeight="1">
      <c r="A25" s="13" t="s">
        <v>63</v>
      </c>
      <c r="B25" s="58" t="s">
        <v>64</v>
      </c>
      <c r="C25" s="57"/>
      <c r="D25" s="57"/>
      <c r="E25" s="57"/>
      <c r="F25" s="57"/>
      <c r="G25" s="57"/>
      <c r="H25" s="57"/>
    </row>
    <row r="26" spans="1:8" ht="21.95" customHeight="1">
      <c r="A26" s="13" t="s">
        <v>65</v>
      </c>
      <c r="B26" s="58" t="s">
        <v>66</v>
      </c>
      <c r="C26" s="57"/>
      <c r="D26" s="57"/>
      <c r="E26" s="57"/>
      <c r="F26" s="57"/>
      <c r="G26" s="57"/>
      <c r="H26" s="57"/>
    </row>
    <row r="27" spans="1:8" ht="21.95" customHeight="1">
      <c r="A27" s="13" t="s">
        <v>67</v>
      </c>
      <c r="B27" s="58" t="s">
        <v>68</v>
      </c>
      <c r="C27" s="57"/>
      <c r="D27" s="57"/>
      <c r="E27" s="57"/>
      <c r="F27" s="57"/>
      <c r="G27" s="57"/>
      <c r="H27" s="57"/>
    </row>
    <row r="28" spans="1:8" ht="21.95" customHeight="1">
      <c r="A28" s="13" t="s">
        <v>69</v>
      </c>
      <c r="B28" s="58" t="s">
        <v>70</v>
      </c>
      <c r="C28" s="57"/>
      <c r="D28" s="57"/>
      <c r="E28" s="57"/>
      <c r="F28" s="57"/>
      <c r="G28" s="57"/>
      <c r="H28" s="57"/>
    </row>
    <row r="29" spans="1:8" ht="21.95" customHeight="1">
      <c r="A29" s="14" t="s">
        <v>71</v>
      </c>
      <c r="B29" s="59" t="s">
        <v>72</v>
      </c>
      <c r="C29" s="60"/>
      <c r="D29" s="60"/>
      <c r="E29" s="60"/>
      <c r="F29" s="60"/>
      <c r="G29" s="60"/>
      <c r="H29" s="60"/>
    </row>
    <row r="30" spans="1:8" ht="21.95" customHeight="1">
      <c r="A30" s="1"/>
      <c r="B30" s="1"/>
      <c r="C30" s="1"/>
      <c r="D30" s="1"/>
      <c r="E30" s="1"/>
      <c r="F30" s="1"/>
      <c r="G30" s="1"/>
      <c r="H30" s="1"/>
    </row>
    <row r="31" spans="1:8" ht="21.95" customHeight="1">
      <c r="A31" s="1"/>
      <c r="B31" s="1"/>
      <c r="C31" s="1"/>
      <c r="D31" s="1"/>
      <c r="E31" s="1"/>
      <c r="F31" s="1"/>
      <c r="G31" s="1"/>
      <c r="H31" s="1"/>
    </row>
    <row r="32" spans="1:8" ht="21.95" customHeight="1">
      <c r="A32" s="12" t="s">
        <v>73</v>
      </c>
      <c r="B32" s="12"/>
      <c r="C32" s="12"/>
      <c r="D32" s="12"/>
      <c r="E32" s="12"/>
      <c r="F32" s="12"/>
      <c r="G32" s="12"/>
      <c r="H32" s="12"/>
    </row>
    <row r="33" spans="1:8" ht="21.95" customHeight="1">
      <c r="A33" s="15" t="s">
        <v>63</v>
      </c>
      <c r="B33" s="15" t="s">
        <v>74</v>
      </c>
      <c r="C33" s="15" t="s">
        <v>65</v>
      </c>
      <c r="D33" s="15" t="s">
        <v>75</v>
      </c>
      <c r="E33" s="15" t="s">
        <v>67</v>
      </c>
      <c r="F33" s="15" t="s">
        <v>76</v>
      </c>
      <c r="G33" s="15" t="s">
        <v>69</v>
      </c>
      <c r="H33" s="15" t="s">
        <v>77</v>
      </c>
    </row>
    <row r="34" spans="1:8" ht="21.95" customHeight="1">
      <c r="A34" s="15" t="s">
        <v>78</v>
      </c>
      <c r="B34" s="15" t="s">
        <v>79</v>
      </c>
      <c r="C34" s="15" t="s">
        <v>80</v>
      </c>
      <c r="D34" s="15" t="s">
        <v>81</v>
      </c>
      <c r="E34" s="15" t="s">
        <v>82</v>
      </c>
      <c r="F34" s="15" t="s">
        <v>83</v>
      </c>
      <c r="G34" s="15" t="s">
        <v>84</v>
      </c>
      <c r="H34" s="15" t="s">
        <v>85</v>
      </c>
    </row>
    <row r="35" spans="1:8" ht="21.95" customHeight="1">
      <c r="A35" s="15" t="s">
        <v>86</v>
      </c>
      <c r="B35" s="15" t="s">
        <v>87</v>
      </c>
      <c r="C35" s="15" t="s">
        <v>88</v>
      </c>
      <c r="D35" s="15" t="s">
        <v>89</v>
      </c>
      <c r="E35" s="15" t="s">
        <v>90</v>
      </c>
      <c r="F35" s="15" t="s">
        <v>91</v>
      </c>
      <c r="G35" s="15" t="s">
        <v>92</v>
      </c>
      <c r="H35" s="15" t="s">
        <v>93</v>
      </c>
    </row>
    <row r="36" spans="1:8" ht="21.95" customHeight="1">
      <c r="A36" s="15" t="s">
        <v>94</v>
      </c>
      <c r="B36" s="58" t="s">
        <v>95</v>
      </c>
      <c r="C36" s="58"/>
      <c r="D36" s="58"/>
      <c r="E36" s="58"/>
      <c r="F36" s="58"/>
      <c r="G36" s="58"/>
      <c r="H36" s="58"/>
    </row>
    <row r="37" spans="1:8" ht="21.95" customHeight="1">
      <c r="A37" s="16" t="s">
        <v>96</v>
      </c>
      <c r="B37" s="61" t="s">
        <v>97</v>
      </c>
      <c r="C37" s="59"/>
      <c r="D37" s="59"/>
      <c r="E37" s="59"/>
      <c r="F37" s="59"/>
      <c r="G37" s="59"/>
      <c r="H37" s="59"/>
    </row>
  </sheetData>
  <mergeCells count="8">
    <mergeCell ref="B29:H29"/>
    <mergeCell ref="B36:H36"/>
    <mergeCell ref="B37:H37"/>
    <mergeCell ref="A4:H4"/>
    <mergeCell ref="B25:H25"/>
    <mergeCell ref="B26:H26"/>
    <mergeCell ref="B27:H27"/>
    <mergeCell ref="B28:H28"/>
  </mergeCells>
  <phoneticPr fontId="16" type="noConversion"/>
  <conditionalFormatting sqref="E16:E21">
    <cfRule type="containsText" dxfId="23" priority="1" operator="containsText" text="확정"/>
    <cfRule type="containsText" dxfId="22" priority="2" operator="containsText" text="권장"/>
    <cfRule type="containsText" dxfId="21" priority="3" operator="containsText" text="TBD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75B5"/>
  </sheetPr>
  <dimension ref="A1:H36"/>
  <sheetViews>
    <sheetView showGridLines="0" workbookViewId="0">
      <pane ySplit="6" topLeftCell="A7" activePane="bottomLeft" state="frozen"/>
      <selection pane="bottomLeft"/>
    </sheetView>
  </sheetViews>
  <sheetFormatPr defaultRowHeight="14.25"/>
  <cols>
    <col min="1" max="1" width="24" customWidth="1"/>
    <col min="2" max="2" width="18" customWidth="1"/>
    <col min="3" max="4" width="16" customWidth="1"/>
    <col min="5" max="5" width="28" customWidth="1"/>
    <col min="6" max="6" width="44" customWidth="1"/>
  </cols>
  <sheetData>
    <row r="1" spans="1:8" ht="24" customHeight="1">
      <c r="A1" s="1"/>
      <c r="B1" s="1"/>
      <c r="C1" s="1"/>
      <c r="D1" s="1"/>
      <c r="E1" s="1"/>
      <c r="F1" s="1"/>
    </row>
    <row r="2" spans="1:8" ht="24" customHeight="1">
      <c r="A2" s="2" t="s">
        <v>98</v>
      </c>
      <c r="B2" s="1"/>
      <c r="C2" s="1"/>
      <c r="D2" s="1"/>
      <c r="E2" s="1"/>
      <c r="F2" s="1"/>
    </row>
    <row r="3" spans="1:8" ht="24" customHeight="1">
      <c r="A3" s="3"/>
      <c r="B3" s="3"/>
      <c r="C3" s="3"/>
      <c r="D3" s="3"/>
      <c r="E3" s="3"/>
      <c r="F3" s="3"/>
      <c r="G3" s="17"/>
      <c r="H3" s="17"/>
    </row>
    <row r="4" spans="1:8" ht="33.950000000000003" customHeight="1">
      <c r="A4" s="56" t="s">
        <v>99</v>
      </c>
      <c r="B4" s="57"/>
      <c r="C4" s="57"/>
      <c r="D4" s="57"/>
      <c r="E4" s="57"/>
      <c r="F4" s="57"/>
      <c r="G4" s="62"/>
      <c r="H4" s="62"/>
    </row>
    <row r="5" spans="1:8" ht="24" customHeight="1">
      <c r="A5" s="1"/>
      <c r="B5" s="1"/>
      <c r="C5" s="1"/>
      <c r="D5" s="1"/>
      <c r="E5" s="1"/>
      <c r="F5" s="1"/>
    </row>
    <row r="6" spans="1:8" ht="24" customHeight="1">
      <c r="A6" s="5" t="s">
        <v>100</v>
      </c>
      <c r="B6" s="9" t="s">
        <v>101</v>
      </c>
      <c r="C6" s="9" t="s">
        <v>102</v>
      </c>
      <c r="D6" s="9" t="s">
        <v>103</v>
      </c>
      <c r="E6" s="9" t="s">
        <v>104</v>
      </c>
      <c r="F6" s="6" t="s">
        <v>105</v>
      </c>
    </row>
    <row r="7" spans="1:8" ht="24" customHeight="1">
      <c r="A7" s="8" t="s">
        <v>106</v>
      </c>
      <c r="B7" s="18">
        <v>160000</v>
      </c>
      <c r="C7" s="10" t="s">
        <v>107</v>
      </c>
      <c r="D7" s="10" t="s">
        <v>108</v>
      </c>
      <c r="E7" s="4" t="s">
        <v>109</v>
      </c>
      <c r="F7" s="4" t="s">
        <v>110</v>
      </c>
    </row>
    <row r="8" spans="1:8" ht="24" customHeight="1">
      <c r="A8" s="8" t="s">
        <v>111</v>
      </c>
      <c r="B8" s="18">
        <v>256</v>
      </c>
      <c r="C8" s="10" t="s">
        <v>112</v>
      </c>
      <c r="D8" s="10" t="s">
        <v>108</v>
      </c>
      <c r="E8" s="4" t="s">
        <v>109</v>
      </c>
      <c r="F8" s="4" t="s">
        <v>113</v>
      </c>
    </row>
    <row r="9" spans="1:8" ht="24" customHeight="1">
      <c r="A9" s="8" t="s">
        <v>114</v>
      </c>
      <c r="B9" s="18">
        <v>10000</v>
      </c>
      <c r="C9" s="10" t="s">
        <v>115</v>
      </c>
      <c r="D9" s="10" t="s">
        <v>108</v>
      </c>
      <c r="E9" s="4" t="s">
        <v>109</v>
      </c>
      <c r="F9" s="4" t="s">
        <v>116</v>
      </c>
    </row>
    <row r="10" spans="1:8" ht="24" customHeight="1">
      <c r="A10" s="8" t="s">
        <v>117</v>
      </c>
      <c r="B10" s="18">
        <v>20000</v>
      </c>
      <c r="C10" s="10" t="s">
        <v>115</v>
      </c>
      <c r="D10" s="10" t="s">
        <v>108</v>
      </c>
      <c r="E10" s="4" t="s">
        <v>109</v>
      </c>
      <c r="F10" s="4" t="s">
        <v>118</v>
      </c>
    </row>
    <row r="11" spans="1:8" ht="24" customHeight="1">
      <c r="A11" s="8" t="s">
        <v>119</v>
      </c>
      <c r="B11" s="18">
        <v>25000</v>
      </c>
      <c r="C11" s="10" t="s">
        <v>115</v>
      </c>
      <c r="D11" s="10" t="s">
        <v>108</v>
      </c>
      <c r="E11" s="4" t="s">
        <v>109</v>
      </c>
      <c r="F11" s="4" t="s">
        <v>120</v>
      </c>
    </row>
    <row r="12" spans="1:8" ht="24" customHeight="1">
      <c r="A12" s="8" t="s">
        <v>121</v>
      </c>
      <c r="B12" s="18">
        <f>ROUND(B9/B7*B8,0)</f>
        <v>16</v>
      </c>
      <c r="C12" s="10" t="s">
        <v>122</v>
      </c>
      <c r="D12" s="10" t="s">
        <v>123</v>
      </c>
      <c r="E12" s="4" t="s">
        <v>109</v>
      </c>
      <c r="F12" s="4" t="s">
        <v>124</v>
      </c>
    </row>
    <row r="13" spans="1:8" ht="24" customHeight="1">
      <c r="A13" s="8" t="s">
        <v>125</v>
      </c>
      <c r="B13" s="18">
        <f>ROUND(B10/B7*B8,0)</f>
        <v>32</v>
      </c>
      <c r="C13" s="10" t="s">
        <v>122</v>
      </c>
      <c r="D13" s="10" t="s">
        <v>123</v>
      </c>
      <c r="E13" s="4" t="s">
        <v>109</v>
      </c>
      <c r="F13" s="4" t="s">
        <v>126</v>
      </c>
    </row>
    <row r="14" spans="1:8" ht="24" customHeight="1">
      <c r="A14" s="8" t="s">
        <v>127</v>
      </c>
      <c r="B14" s="18">
        <f>ROUND(B11/B7*B8,0)</f>
        <v>40</v>
      </c>
      <c r="C14" s="10" t="s">
        <v>122</v>
      </c>
      <c r="D14" s="10" t="s">
        <v>123</v>
      </c>
      <c r="E14" s="4" t="s">
        <v>109</v>
      </c>
      <c r="F14" s="4" t="s">
        <v>128</v>
      </c>
    </row>
    <row r="15" spans="1:8" ht="24" customHeight="1">
      <c r="A15" s="8" t="s">
        <v>129</v>
      </c>
      <c r="B15" s="18">
        <v>512</v>
      </c>
      <c r="C15" s="10" t="s">
        <v>112</v>
      </c>
      <c r="D15" s="10" t="s">
        <v>108</v>
      </c>
      <c r="E15" s="4" t="s">
        <v>109</v>
      </c>
      <c r="F15" s="4" t="s">
        <v>130</v>
      </c>
    </row>
    <row r="16" spans="1:8" ht="24" customHeight="1">
      <c r="A16" s="8" t="s">
        <v>131</v>
      </c>
      <c r="B16" s="19">
        <f>B15/B7*1000</f>
        <v>3.2</v>
      </c>
      <c r="C16" s="10" t="s">
        <v>132</v>
      </c>
      <c r="D16" s="10" t="s">
        <v>123</v>
      </c>
      <c r="E16" s="4" t="s">
        <v>133</v>
      </c>
      <c r="F16" s="4" t="s">
        <v>134</v>
      </c>
    </row>
    <row r="17" spans="1:6" ht="24" customHeight="1">
      <c r="A17" s="8" t="s">
        <v>135</v>
      </c>
      <c r="B17" s="19">
        <f>B8/B7*1000</f>
        <v>1.6</v>
      </c>
      <c r="C17" s="10" t="s">
        <v>132</v>
      </c>
      <c r="D17" s="10" t="s">
        <v>123</v>
      </c>
      <c r="E17" s="4" t="s">
        <v>133</v>
      </c>
      <c r="F17" s="4" t="s">
        <v>136</v>
      </c>
    </row>
    <row r="18" spans="1:6" ht="24" customHeight="1">
      <c r="A18" s="8" t="s">
        <v>137</v>
      </c>
      <c r="B18" s="18">
        <v>4</v>
      </c>
      <c r="C18" s="10" t="s">
        <v>138</v>
      </c>
      <c r="D18" s="10" t="s">
        <v>108</v>
      </c>
      <c r="E18" s="4" t="s">
        <v>109</v>
      </c>
      <c r="F18" s="4" t="s">
        <v>139</v>
      </c>
    </row>
    <row r="19" spans="1:6" ht="24" customHeight="1">
      <c r="A19" s="8" t="s">
        <v>140</v>
      </c>
      <c r="B19" s="19">
        <f>B18*B16</f>
        <v>12.8</v>
      </c>
      <c r="C19" s="10" t="s">
        <v>132</v>
      </c>
      <c r="D19" s="10" t="s">
        <v>123</v>
      </c>
      <c r="E19" s="4" t="s">
        <v>133</v>
      </c>
      <c r="F19" s="4" t="s">
        <v>141</v>
      </c>
    </row>
    <row r="20" spans="1:6" ht="24" customHeight="1">
      <c r="A20" s="8" t="s">
        <v>142</v>
      </c>
      <c r="B20" s="20" t="s">
        <v>143</v>
      </c>
      <c r="C20" s="10" t="s">
        <v>144</v>
      </c>
      <c r="D20" s="10" t="s">
        <v>145</v>
      </c>
      <c r="E20" s="4" t="s">
        <v>109</v>
      </c>
      <c r="F20" s="4" t="s">
        <v>146</v>
      </c>
    </row>
    <row r="21" spans="1:6" ht="24" customHeight="1">
      <c r="A21" s="8" t="s">
        <v>147</v>
      </c>
      <c r="B21" s="20" t="s">
        <v>148</v>
      </c>
      <c r="C21" s="10" t="s">
        <v>144</v>
      </c>
      <c r="D21" s="10" t="s">
        <v>145</v>
      </c>
      <c r="E21" s="4" t="s">
        <v>109</v>
      </c>
      <c r="F21" s="4" t="s">
        <v>149</v>
      </c>
    </row>
    <row r="22" spans="1:6" ht="24" customHeight="1">
      <c r="A22" s="8" t="s">
        <v>150</v>
      </c>
      <c r="B22" s="18">
        <v>32</v>
      </c>
      <c r="C22" s="10" t="s">
        <v>151</v>
      </c>
      <c r="D22" s="10" t="s">
        <v>145</v>
      </c>
      <c r="E22" s="4" t="s">
        <v>32</v>
      </c>
      <c r="F22" s="4" t="s">
        <v>152</v>
      </c>
    </row>
    <row r="23" spans="1:6" ht="24" customHeight="1">
      <c r="A23" s="8" t="s">
        <v>153</v>
      </c>
      <c r="B23" s="18">
        <f>B18+B22</f>
        <v>36</v>
      </c>
      <c r="C23" s="10" t="s">
        <v>138</v>
      </c>
      <c r="D23" s="10" t="s">
        <v>123</v>
      </c>
      <c r="E23" s="4" t="s">
        <v>133</v>
      </c>
      <c r="F23" s="4" t="s">
        <v>154</v>
      </c>
    </row>
    <row r="24" spans="1:6" ht="24" customHeight="1">
      <c r="A24" s="8" t="s">
        <v>155</v>
      </c>
      <c r="B24" s="19">
        <f>B23*B16</f>
        <v>115.2</v>
      </c>
      <c r="C24" s="10" t="s">
        <v>132</v>
      </c>
      <c r="D24" s="10" t="s">
        <v>123</v>
      </c>
      <c r="E24" s="4" t="s">
        <v>133</v>
      </c>
      <c r="F24" s="4" t="s">
        <v>156</v>
      </c>
    </row>
    <row r="25" spans="1:6" ht="24" customHeight="1">
      <c r="A25" s="8" t="s">
        <v>157</v>
      </c>
      <c r="B25" s="20" t="s">
        <v>158</v>
      </c>
      <c r="C25" s="10" t="s">
        <v>159</v>
      </c>
      <c r="D25" s="10" t="s">
        <v>145</v>
      </c>
      <c r="E25" s="4" t="s">
        <v>160</v>
      </c>
      <c r="F25" s="4" t="s">
        <v>161</v>
      </c>
    </row>
    <row r="26" spans="1:6" ht="24" customHeight="1">
      <c r="A26" s="8" t="s">
        <v>162</v>
      </c>
      <c r="B26" s="20" t="s">
        <v>163</v>
      </c>
      <c r="C26" s="10" t="s">
        <v>159</v>
      </c>
      <c r="D26" s="10" t="s">
        <v>145</v>
      </c>
      <c r="E26" s="4" t="s">
        <v>44</v>
      </c>
      <c r="F26" s="4" t="s">
        <v>164</v>
      </c>
    </row>
    <row r="27" spans="1:6" ht="24" customHeight="1">
      <c r="A27" s="8" t="s">
        <v>165</v>
      </c>
      <c r="B27" s="20" t="s">
        <v>166</v>
      </c>
      <c r="C27" s="10" t="s">
        <v>115</v>
      </c>
      <c r="D27" s="10" t="s">
        <v>166</v>
      </c>
      <c r="E27" s="4" t="s">
        <v>167</v>
      </c>
      <c r="F27" s="4" t="s">
        <v>168</v>
      </c>
    </row>
    <row r="28" spans="1:6" ht="24" customHeight="1">
      <c r="A28" s="8" t="s">
        <v>169</v>
      </c>
      <c r="B28" s="20" t="s">
        <v>166</v>
      </c>
      <c r="C28" s="10" t="s">
        <v>170</v>
      </c>
      <c r="D28" s="10" t="s">
        <v>166</v>
      </c>
      <c r="E28" s="4" t="s">
        <v>167</v>
      </c>
      <c r="F28" s="4" t="s">
        <v>168</v>
      </c>
    </row>
    <row r="29" spans="1:6" ht="24" customHeight="1">
      <c r="A29" s="8" t="s">
        <v>171</v>
      </c>
      <c r="B29" s="20" t="s">
        <v>166</v>
      </c>
      <c r="C29" s="10" t="s">
        <v>172</v>
      </c>
      <c r="D29" s="10" t="s">
        <v>173</v>
      </c>
      <c r="E29" s="4" t="s">
        <v>174</v>
      </c>
      <c r="F29" s="4" t="s">
        <v>175</v>
      </c>
    </row>
    <row r="30" spans="1:6" ht="24" customHeight="1">
      <c r="A30" s="8" t="s">
        <v>176</v>
      </c>
      <c r="B30" s="20" t="s">
        <v>166</v>
      </c>
      <c r="C30" s="10" t="s">
        <v>172</v>
      </c>
      <c r="D30" s="10" t="s">
        <v>173</v>
      </c>
      <c r="E30" s="4" t="s">
        <v>174</v>
      </c>
      <c r="F30" s="4" t="s">
        <v>175</v>
      </c>
    </row>
    <row r="31" spans="1:6" ht="24" customHeight="1">
      <c r="A31" s="1"/>
      <c r="B31" s="1"/>
      <c r="C31" s="1"/>
      <c r="D31" s="1"/>
      <c r="E31" s="1"/>
      <c r="F31" s="1"/>
    </row>
    <row r="32" spans="1:6" ht="24" customHeight="1">
      <c r="A32" s="1"/>
      <c r="B32" s="1"/>
      <c r="C32" s="1"/>
      <c r="D32" s="1"/>
      <c r="E32" s="1"/>
      <c r="F32" s="1"/>
    </row>
    <row r="33" spans="1:6" ht="24" customHeight="1">
      <c r="A33" s="12" t="s">
        <v>177</v>
      </c>
      <c r="B33" s="12"/>
      <c r="C33" s="12"/>
      <c r="D33" s="12"/>
      <c r="E33" s="12"/>
      <c r="F33" s="12"/>
    </row>
    <row r="34" spans="1:6" ht="24" customHeight="1">
      <c r="A34" s="21" t="s">
        <v>18</v>
      </c>
      <c r="B34" s="57" t="s">
        <v>11</v>
      </c>
      <c r="C34" s="57"/>
      <c r="D34" s="57"/>
      <c r="E34" s="57"/>
      <c r="F34" s="57"/>
    </row>
    <row r="35" spans="1:6" ht="24" customHeight="1">
      <c r="A35" s="21" t="s">
        <v>178</v>
      </c>
      <c r="B35" s="57" t="s">
        <v>179</v>
      </c>
      <c r="C35" s="57"/>
      <c r="D35" s="57"/>
      <c r="E35" s="57"/>
      <c r="F35" s="57"/>
    </row>
    <row r="36" spans="1:6" ht="24" customHeight="1">
      <c r="A36" s="22" t="s">
        <v>180</v>
      </c>
      <c r="B36" s="60" t="s">
        <v>181</v>
      </c>
      <c r="C36" s="60"/>
      <c r="D36" s="60"/>
      <c r="E36" s="60"/>
      <c r="F36" s="60"/>
    </row>
  </sheetData>
  <mergeCells count="4">
    <mergeCell ref="A4:H4"/>
    <mergeCell ref="B34:F34"/>
    <mergeCell ref="B35:F35"/>
    <mergeCell ref="B36:F36"/>
  </mergeCells>
  <phoneticPr fontId="16" type="noConversion"/>
  <conditionalFormatting sqref="D7:D30">
    <cfRule type="containsText" dxfId="20" priority="1" operator="containsText" text="확정"/>
    <cfRule type="containsText" dxfId="19" priority="2" operator="containsText" text="권장"/>
    <cfRule type="containsText" dxfId="18" priority="3" operator="containsText" text="TBD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DC3E6"/>
  </sheetPr>
  <dimension ref="A1:H45"/>
  <sheetViews>
    <sheetView showGridLines="0" tabSelected="1" workbookViewId="0">
      <pane ySplit="9" topLeftCell="A10" activePane="bottomLeft" state="frozen"/>
      <selection pane="bottomLeft" activeCell="E48" sqref="E48"/>
    </sheetView>
  </sheetViews>
  <sheetFormatPr defaultColWidth="40.375" defaultRowHeight="14.25"/>
  <cols>
    <col min="1" max="1" width="12.125" bestFit="1" customWidth="1"/>
    <col min="2" max="2" width="10.625" bestFit="1" customWidth="1"/>
    <col min="3" max="3" width="9.75" bestFit="1" customWidth="1"/>
    <col min="4" max="4" width="20.25" bestFit="1" customWidth="1"/>
    <col min="5" max="5" width="17.875" bestFit="1" customWidth="1"/>
    <col min="6" max="6" width="26.375" bestFit="1" customWidth="1"/>
    <col min="7" max="7" width="41.875" bestFit="1" customWidth="1"/>
    <col min="8" max="8" width="17.5" bestFit="1" customWidth="1"/>
  </cols>
  <sheetData>
    <row r="1" spans="1:8">
      <c r="A1" s="32"/>
      <c r="B1" s="33"/>
      <c r="C1" s="33"/>
      <c r="D1" s="33"/>
      <c r="E1" s="33"/>
      <c r="F1" s="33"/>
      <c r="G1" s="33"/>
      <c r="H1" s="34"/>
    </row>
    <row r="2" spans="1:8" ht="19.5">
      <c r="A2" s="63" t="s">
        <v>182</v>
      </c>
      <c r="B2" s="64"/>
      <c r="C2" s="64"/>
      <c r="D2" s="64"/>
      <c r="E2" s="64"/>
      <c r="F2" s="64"/>
      <c r="G2" s="64"/>
      <c r="H2" s="65"/>
    </row>
    <row r="3" spans="1:8">
      <c r="A3" s="37"/>
      <c r="B3" s="38"/>
      <c r="C3" s="38"/>
      <c r="D3" s="38"/>
      <c r="E3" s="38"/>
      <c r="F3" s="38"/>
      <c r="G3" s="38"/>
      <c r="H3" s="39"/>
    </row>
    <row r="4" spans="1:8">
      <c r="A4" s="66" t="s">
        <v>183</v>
      </c>
      <c r="B4" s="67"/>
      <c r="C4" s="67"/>
      <c r="D4" s="67"/>
      <c r="E4" s="67"/>
      <c r="F4" s="67"/>
      <c r="G4" s="67"/>
      <c r="H4" s="68"/>
    </row>
    <row r="5" spans="1:8">
      <c r="A5" s="40"/>
      <c r="B5" s="35"/>
      <c r="C5" s="35"/>
      <c r="D5" s="35"/>
      <c r="E5" s="35"/>
      <c r="F5" s="35"/>
      <c r="G5" s="35"/>
      <c r="H5" s="36"/>
    </row>
    <row r="6" spans="1:8">
      <c r="A6" s="45" t="s">
        <v>184</v>
      </c>
      <c r="B6" s="46" t="s">
        <v>185</v>
      </c>
      <c r="C6" s="44" t="s">
        <v>186</v>
      </c>
      <c r="D6" s="44" t="s">
        <v>187</v>
      </c>
      <c r="E6" s="44"/>
      <c r="F6" s="44"/>
      <c r="G6" s="45" t="s">
        <v>188</v>
      </c>
      <c r="H6" s="46" t="s">
        <v>189</v>
      </c>
    </row>
    <row r="7" spans="1:8">
      <c r="A7" s="45" t="s">
        <v>190</v>
      </c>
      <c r="B7" s="47" t="s">
        <v>191</v>
      </c>
      <c r="C7" s="47" t="s">
        <v>192</v>
      </c>
      <c r="D7" s="47" t="s">
        <v>193</v>
      </c>
      <c r="E7" s="47" t="s">
        <v>194</v>
      </c>
      <c r="F7" s="47" t="s">
        <v>195</v>
      </c>
      <c r="G7" s="45" t="s">
        <v>196</v>
      </c>
      <c r="H7" s="47" t="s">
        <v>87</v>
      </c>
    </row>
    <row r="8" spans="1:8">
      <c r="A8" s="40"/>
      <c r="B8" s="35"/>
      <c r="C8" s="35"/>
      <c r="D8" s="35"/>
      <c r="E8" s="35"/>
      <c r="F8" s="35"/>
      <c r="G8" s="35"/>
      <c r="H8" s="36"/>
    </row>
    <row r="9" spans="1:8">
      <c r="A9" s="48" t="s">
        <v>197</v>
      </c>
      <c r="B9" s="48" t="s">
        <v>198</v>
      </c>
      <c r="C9" s="48" t="s">
        <v>199</v>
      </c>
      <c r="D9" s="48" t="s">
        <v>200</v>
      </c>
      <c r="E9" s="48" t="s">
        <v>201</v>
      </c>
      <c r="F9" s="48" t="s">
        <v>105</v>
      </c>
      <c r="G9" s="48" t="s">
        <v>202</v>
      </c>
      <c r="H9" s="48" t="s">
        <v>203</v>
      </c>
    </row>
    <row r="10" spans="1:8">
      <c r="A10" s="51" t="s">
        <v>204</v>
      </c>
      <c r="B10" s="49" t="s">
        <v>205</v>
      </c>
      <c r="C10" s="49" t="s">
        <v>63</v>
      </c>
      <c r="D10" s="49" t="s">
        <v>206</v>
      </c>
      <c r="E10" s="44" t="s">
        <v>207</v>
      </c>
      <c r="F10" s="44" t="s">
        <v>208</v>
      </c>
      <c r="G10" s="44" t="s">
        <v>209</v>
      </c>
      <c r="H10" s="53" t="s">
        <v>210</v>
      </c>
    </row>
    <row r="11" spans="1:8">
      <c r="A11" s="51" t="s">
        <v>211</v>
      </c>
      <c r="B11" s="49" t="s">
        <v>205</v>
      </c>
      <c r="C11" s="49" t="s">
        <v>63</v>
      </c>
      <c r="D11" s="49" t="s">
        <v>206</v>
      </c>
      <c r="E11" s="44" t="s">
        <v>212</v>
      </c>
      <c r="F11" s="44" t="s">
        <v>213</v>
      </c>
      <c r="G11" s="44" t="s">
        <v>214</v>
      </c>
      <c r="H11" s="53" t="s">
        <v>210</v>
      </c>
    </row>
    <row r="12" spans="1:8">
      <c r="A12" s="51" t="s">
        <v>215</v>
      </c>
      <c r="B12" s="49" t="s">
        <v>205</v>
      </c>
      <c r="C12" s="49" t="s">
        <v>63</v>
      </c>
      <c r="D12" s="49" t="s">
        <v>206</v>
      </c>
      <c r="E12" s="44" t="s">
        <v>31</v>
      </c>
      <c r="F12" s="44" t="s">
        <v>216</v>
      </c>
      <c r="G12" s="44" t="s">
        <v>217</v>
      </c>
      <c r="H12" s="53" t="s">
        <v>210</v>
      </c>
    </row>
    <row r="13" spans="1:8">
      <c r="A13" s="51" t="s">
        <v>218</v>
      </c>
      <c r="B13" s="49" t="s">
        <v>205</v>
      </c>
      <c r="C13" s="49" t="s">
        <v>219</v>
      </c>
      <c r="D13" s="49" t="s">
        <v>220</v>
      </c>
      <c r="E13" s="44" t="s">
        <v>31</v>
      </c>
      <c r="F13" s="44" t="s">
        <v>221</v>
      </c>
      <c r="G13" s="44" t="s">
        <v>222</v>
      </c>
      <c r="H13" s="46" t="s">
        <v>210</v>
      </c>
    </row>
    <row r="14" spans="1:8">
      <c r="A14" s="51" t="s">
        <v>223</v>
      </c>
      <c r="B14" s="49" t="s">
        <v>205</v>
      </c>
      <c r="C14" s="49" t="s">
        <v>63</v>
      </c>
      <c r="D14" s="49" t="s">
        <v>206</v>
      </c>
      <c r="E14" s="44" t="s">
        <v>31</v>
      </c>
      <c r="F14" s="44" t="s">
        <v>224</v>
      </c>
      <c r="G14" s="44" t="s">
        <v>225</v>
      </c>
      <c r="H14" s="46" t="s">
        <v>210</v>
      </c>
    </row>
    <row r="15" spans="1:8">
      <c r="A15" s="51" t="s">
        <v>226</v>
      </c>
      <c r="B15" s="52" t="s">
        <v>227</v>
      </c>
      <c r="C15" s="52" t="s">
        <v>219</v>
      </c>
      <c r="D15" s="52" t="s">
        <v>228</v>
      </c>
      <c r="E15" s="43" t="s">
        <v>31</v>
      </c>
      <c r="F15" s="43" t="s">
        <v>229</v>
      </c>
      <c r="G15" s="43" t="s">
        <v>230</v>
      </c>
      <c r="H15" s="46" t="s">
        <v>210</v>
      </c>
    </row>
    <row r="16" spans="1:8">
      <c r="A16" s="42"/>
      <c r="B16" s="31"/>
      <c r="C16" s="31"/>
      <c r="D16" s="31"/>
      <c r="E16" s="31"/>
      <c r="F16" s="31"/>
      <c r="G16" s="31"/>
      <c r="H16" s="41"/>
    </row>
    <row r="17" spans="1:8">
      <c r="A17" s="69" t="s">
        <v>231</v>
      </c>
      <c r="B17" s="70"/>
      <c r="C17" s="70"/>
      <c r="D17" s="70"/>
      <c r="E17" s="70"/>
      <c r="F17" s="70"/>
      <c r="G17" s="70"/>
      <c r="H17" s="71"/>
    </row>
    <row r="18" spans="1:8">
      <c r="A18" s="48" t="s">
        <v>100</v>
      </c>
      <c r="B18" s="48" t="s">
        <v>199</v>
      </c>
      <c r="C18" s="48" t="s">
        <v>232</v>
      </c>
      <c r="D18" s="48" t="s">
        <v>200</v>
      </c>
      <c r="E18" s="48" t="s">
        <v>233</v>
      </c>
      <c r="F18" s="48" t="s">
        <v>105</v>
      </c>
      <c r="G18" s="48" t="s">
        <v>234</v>
      </c>
      <c r="H18" s="48" t="s">
        <v>103</v>
      </c>
    </row>
    <row r="19" spans="1:8">
      <c r="A19" s="54" t="s">
        <v>235</v>
      </c>
      <c r="B19" s="49" t="s">
        <v>219</v>
      </c>
      <c r="C19" s="49" t="s">
        <v>148</v>
      </c>
      <c r="D19" s="49" t="s">
        <v>236</v>
      </c>
      <c r="E19" s="44" t="s">
        <v>237</v>
      </c>
      <c r="F19" s="44" t="s">
        <v>238</v>
      </c>
      <c r="G19" s="44" t="s">
        <v>239</v>
      </c>
      <c r="H19" s="46" t="s">
        <v>145</v>
      </c>
    </row>
    <row r="20" spans="1:8">
      <c r="A20" s="51" t="s">
        <v>240</v>
      </c>
      <c r="B20" s="49" t="s">
        <v>219</v>
      </c>
      <c r="C20" s="49" t="s">
        <v>241</v>
      </c>
      <c r="D20" s="49" t="s">
        <v>236</v>
      </c>
      <c r="E20" s="44" t="s">
        <v>242</v>
      </c>
      <c r="F20" s="44" t="s">
        <v>243</v>
      </c>
      <c r="G20" s="44" t="s">
        <v>239</v>
      </c>
      <c r="H20" s="46" t="s">
        <v>145</v>
      </c>
    </row>
    <row r="21" spans="1:8">
      <c r="A21" s="40"/>
      <c r="B21" s="35"/>
      <c r="C21" s="35"/>
      <c r="D21" s="35"/>
      <c r="E21" s="35"/>
      <c r="F21" s="35"/>
      <c r="G21" s="35"/>
      <c r="H21" s="36"/>
    </row>
    <row r="22" spans="1:8">
      <c r="A22" s="72" t="s">
        <v>244</v>
      </c>
      <c r="B22" s="73"/>
      <c r="C22" s="73"/>
      <c r="D22" s="73"/>
      <c r="E22" s="73"/>
      <c r="F22" s="73"/>
      <c r="G22" s="73"/>
      <c r="H22" s="74"/>
    </row>
    <row r="23" spans="1:8">
      <c r="A23" s="88">
        <v>1</v>
      </c>
      <c r="B23" s="89" t="s">
        <v>245</v>
      </c>
      <c r="C23" s="89"/>
      <c r="D23" s="89"/>
      <c r="E23" s="89"/>
      <c r="F23" s="89"/>
      <c r="G23" s="89"/>
      <c r="H23" s="89"/>
    </row>
    <row r="24" spans="1:8">
      <c r="A24" s="88">
        <v>2</v>
      </c>
      <c r="B24" s="89" t="s">
        <v>246</v>
      </c>
      <c r="C24" s="89"/>
      <c r="D24" s="89"/>
      <c r="E24" s="89"/>
      <c r="F24" s="89"/>
      <c r="G24" s="89"/>
      <c r="H24" s="89"/>
    </row>
    <row r="25" spans="1:8">
      <c r="A25" s="88">
        <v>3</v>
      </c>
      <c r="B25" s="89" t="s">
        <v>247</v>
      </c>
      <c r="C25" s="89"/>
      <c r="D25" s="89"/>
      <c r="E25" s="89"/>
      <c r="F25" s="89"/>
      <c r="G25" s="89"/>
      <c r="H25" s="89"/>
    </row>
    <row r="26" spans="1:8">
      <c r="A26" s="88">
        <v>4</v>
      </c>
      <c r="B26" s="89" t="s">
        <v>248</v>
      </c>
      <c r="C26" s="89"/>
      <c r="D26" s="89"/>
      <c r="E26" s="89"/>
      <c r="F26" s="89"/>
      <c r="G26" s="89"/>
      <c r="H26" s="89"/>
    </row>
    <row r="27" spans="1:8">
      <c r="A27" s="88">
        <v>5</v>
      </c>
      <c r="B27" s="89" t="s">
        <v>249</v>
      </c>
      <c r="C27" s="89"/>
      <c r="D27" s="89"/>
      <c r="E27" s="89"/>
      <c r="F27" s="89"/>
      <c r="G27" s="89"/>
      <c r="H27" s="89"/>
    </row>
    <row r="28" spans="1:8">
      <c r="A28" s="88">
        <v>6</v>
      </c>
      <c r="B28" s="89" t="s">
        <v>250</v>
      </c>
      <c r="C28" s="89"/>
      <c r="D28" s="89"/>
      <c r="E28" s="89"/>
      <c r="F28" s="89"/>
      <c r="G28" s="89"/>
      <c r="H28" s="89"/>
    </row>
    <row r="29" spans="1:8">
      <c r="A29" s="88">
        <v>7</v>
      </c>
      <c r="B29" s="89" t="s">
        <v>251</v>
      </c>
      <c r="C29" s="89"/>
      <c r="D29" s="89"/>
      <c r="E29" s="89"/>
      <c r="F29" s="89"/>
      <c r="G29" s="89"/>
      <c r="H29" s="89"/>
    </row>
    <row r="30" spans="1:8">
      <c r="A30" s="40"/>
      <c r="B30" s="35"/>
      <c r="C30" s="35"/>
      <c r="D30" s="35"/>
      <c r="E30" s="35"/>
      <c r="F30" s="35"/>
      <c r="G30" s="35"/>
      <c r="H30" s="36"/>
    </row>
    <row r="31" spans="1:8">
      <c r="A31" s="75" t="s">
        <v>252</v>
      </c>
      <c r="B31" s="76"/>
      <c r="C31" s="76"/>
      <c r="D31" s="76"/>
      <c r="E31" s="76"/>
      <c r="F31" s="76"/>
      <c r="G31" s="76"/>
      <c r="H31" s="77"/>
    </row>
    <row r="32" spans="1:8">
      <c r="A32" s="78" t="s">
        <v>253</v>
      </c>
      <c r="B32" s="79"/>
      <c r="C32" s="79"/>
      <c r="D32" s="79"/>
      <c r="E32" s="79"/>
      <c r="F32" s="79"/>
      <c r="G32" s="79"/>
      <c r="H32" s="80"/>
    </row>
    <row r="33" spans="1:8">
      <c r="A33" s="40"/>
      <c r="B33" s="35"/>
      <c r="C33" s="35"/>
      <c r="D33" s="35"/>
      <c r="E33" s="35"/>
      <c r="F33" s="35"/>
      <c r="G33" s="35"/>
      <c r="H33" s="36"/>
    </row>
    <row r="34" spans="1:8">
      <c r="A34" s="72" t="s">
        <v>254</v>
      </c>
      <c r="B34" s="73"/>
      <c r="C34" s="73"/>
      <c r="D34" s="73"/>
      <c r="E34" s="73"/>
      <c r="F34" s="73"/>
      <c r="G34" s="73"/>
      <c r="H34" s="74"/>
    </row>
    <row r="35" spans="1:8">
      <c r="A35" s="50" t="s">
        <v>255</v>
      </c>
      <c r="B35" s="50" t="s">
        <v>215</v>
      </c>
      <c r="C35" s="50" t="s">
        <v>223</v>
      </c>
      <c r="D35" s="50" t="s">
        <v>218</v>
      </c>
      <c r="E35" s="50" t="s">
        <v>256</v>
      </c>
      <c r="F35" s="50" t="s">
        <v>257</v>
      </c>
      <c r="G35" s="50" t="s">
        <v>258</v>
      </c>
      <c r="H35" s="50" t="s">
        <v>23</v>
      </c>
    </row>
    <row r="36" spans="1:8">
      <c r="A36" s="44" t="s">
        <v>259</v>
      </c>
      <c r="B36" s="49">
        <v>1</v>
      </c>
      <c r="C36" s="49">
        <v>0</v>
      </c>
      <c r="D36" s="44" t="s">
        <v>260</v>
      </c>
      <c r="E36" s="44" t="s">
        <v>261</v>
      </c>
      <c r="F36" s="44" t="s">
        <v>262</v>
      </c>
      <c r="G36" s="44" t="s">
        <v>263</v>
      </c>
      <c r="H36" s="44" t="s">
        <v>264</v>
      </c>
    </row>
    <row r="37" spans="1:8">
      <c r="A37" s="44" t="s">
        <v>265</v>
      </c>
      <c r="B37" s="49">
        <v>0</v>
      </c>
      <c r="C37" s="49">
        <v>1</v>
      </c>
      <c r="D37" s="44" t="s">
        <v>266</v>
      </c>
      <c r="E37" s="44" t="s">
        <v>267</v>
      </c>
      <c r="F37" s="44" t="s">
        <v>268</v>
      </c>
      <c r="G37" s="44" t="s">
        <v>269</v>
      </c>
      <c r="H37" s="44" t="s">
        <v>270</v>
      </c>
    </row>
    <row r="38" spans="1:8">
      <c r="A38" s="44" t="s">
        <v>271</v>
      </c>
      <c r="B38" s="49">
        <v>0</v>
      </c>
      <c r="C38" s="49">
        <v>1</v>
      </c>
      <c r="D38" s="44" t="s">
        <v>272</v>
      </c>
      <c r="E38" s="44" t="s">
        <v>273</v>
      </c>
      <c r="F38" s="44" t="s">
        <v>274</v>
      </c>
      <c r="G38" s="44" t="s">
        <v>275</v>
      </c>
      <c r="H38" s="44" t="s">
        <v>276</v>
      </c>
    </row>
    <row r="39" spans="1:8">
      <c r="A39" s="44" t="s">
        <v>277</v>
      </c>
      <c r="B39" s="49">
        <v>0</v>
      </c>
      <c r="C39" s="49">
        <v>0</v>
      </c>
      <c r="D39" s="44" t="s">
        <v>260</v>
      </c>
      <c r="E39" s="44" t="s">
        <v>278</v>
      </c>
      <c r="F39" s="44" t="s">
        <v>279</v>
      </c>
      <c r="G39" s="44" t="s">
        <v>280</v>
      </c>
      <c r="H39" s="44" t="s">
        <v>281</v>
      </c>
    </row>
    <row r="40" spans="1:8">
      <c r="A40" s="40"/>
      <c r="B40" s="35"/>
      <c r="C40" s="35"/>
      <c r="D40" s="35"/>
      <c r="E40" s="35"/>
      <c r="F40" s="35"/>
      <c r="G40" s="35"/>
      <c r="H40" s="36"/>
    </row>
    <row r="41" spans="1:8">
      <c r="A41" s="72" t="s">
        <v>282</v>
      </c>
      <c r="B41" s="73"/>
      <c r="C41" s="73"/>
      <c r="D41" s="73"/>
      <c r="E41" s="73"/>
      <c r="F41" s="73"/>
      <c r="G41" s="73"/>
      <c r="H41" s="74"/>
    </row>
    <row r="42" spans="1:8">
      <c r="A42" s="49" t="s">
        <v>283</v>
      </c>
      <c r="B42" s="49" t="s">
        <v>284</v>
      </c>
      <c r="C42" s="49" t="s">
        <v>241</v>
      </c>
      <c r="D42" s="49" t="s">
        <v>285</v>
      </c>
      <c r="E42" s="49" t="s">
        <v>286</v>
      </c>
      <c r="F42" s="49" t="s">
        <v>287</v>
      </c>
      <c r="G42" s="49" t="s">
        <v>288</v>
      </c>
      <c r="H42" s="53" t="s">
        <v>28</v>
      </c>
    </row>
    <row r="43" spans="1:8">
      <c r="A43" s="40"/>
      <c r="B43" s="35"/>
      <c r="C43" s="35"/>
      <c r="D43" s="35"/>
      <c r="E43" s="35"/>
      <c r="F43" s="35"/>
      <c r="G43" s="35"/>
      <c r="H43" s="36"/>
    </row>
    <row r="44" spans="1:8">
      <c r="A44" s="81" t="s">
        <v>439</v>
      </c>
      <c r="B44" s="82"/>
      <c r="C44" s="82"/>
      <c r="D44" s="82"/>
      <c r="E44" s="82"/>
      <c r="F44" s="82"/>
      <c r="G44" s="82"/>
      <c r="H44" s="83"/>
    </row>
    <row r="45" spans="1:8">
      <c r="A45" s="28"/>
      <c r="B45" s="29"/>
      <c r="C45" s="29"/>
      <c r="D45" s="29"/>
      <c r="E45" s="29"/>
      <c r="F45" s="29"/>
      <c r="G45" s="29"/>
      <c r="H45" s="30"/>
    </row>
  </sheetData>
  <mergeCells count="16">
    <mergeCell ref="A44:H44"/>
    <mergeCell ref="B29:H29"/>
    <mergeCell ref="A31:H31"/>
    <mergeCell ref="A32:H32"/>
    <mergeCell ref="A34:H34"/>
    <mergeCell ref="A41:H41"/>
    <mergeCell ref="B24:H24"/>
    <mergeCell ref="B25:H25"/>
    <mergeCell ref="B26:H26"/>
    <mergeCell ref="B27:H27"/>
    <mergeCell ref="B28:H28"/>
    <mergeCell ref="A2:H2"/>
    <mergeCell ref="A4:H4"/>
    <mergeCell ref="A17:H17"/>
    <mergeCell ref="A22:H22"/>
    <mergeCell ref="B23:H23"/>
  </mergeCells>
  <phoneticPr fontId="16" type="noConversion"/>
  <conditionalFormatting sqref="H10:H12">
    <cfRule type="containsText" dxfId="17" priority="1" operator="containsText" text="확정"/>
    <cfRule type="containsText" dxfId="16" priority="2" operator="containsText" text="권장"/>
    <cfRule type="containsText" dxfId="15" priority="3" operator="containsText" text="TBD"/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DC3E6"/>
  </sheetPr>
  <dimension ref="A1:H45"/>
  <sheetViews>
    <sheetView showGridLines="0" workbookViewId="0">
      <pane ySplit="9" topLeftCell="A10" activePane="bottomLeft" state="frozen"/>
      <selection pane="bottomLeft"/>
    </sheetView>
  </sheetViews>
  <sheetFormatPr defaultRowHeight="14.25"/>
  <cols>
    <col min="1" max="1" width="22" customWidth="1"/>
    <col min="2" max="2" width="10" customWidth="1"/>
    <col min="3" max="3" width="11" customWidth="1"/>
    <col min="4" max="4" width="24" customWidth="1"/>
    <col min="5" max="5" width="25" customWidth="1"/>
    <col min="6" max="6" width="38" customWidth="1"/>
    <col min="7" max="7" width="42" customWidth="1"/>
    <col min="8" max="8" width="14" customWidth="1"/>
  </cols>
  <sheetData>
    <row r="1" spans="1:8" ht="24" customHeight="1">
      <c r="A1" s="1"/>
      <c r="B1" s="1"/>
      <c r="C1" s="1"/>
      <c r="D1" s="1"/>
      <c r="E1" s="1"/>
      <c r="F1" s="1"/>
      <c r="G1" s="1"/>
      <c r="H1" s="1"/>
    </row>
    <row r="2" spans="1:8" ht="24" customHeight="1">
      <c r="A2" s="2" t="s">
        <v>289</v>
      </c>
      <c r="B2" s="1"/>
      <c r="C2" s="1"/>
      <c r="D2" s="1"/>
      <c r="E2" s="1"/>
      <c r="F2" s="1"/>
      <c r="G2" s="1"/>
      <c r="H2" s="1"/>
    </row>
    <row r="3" spans="1:8" ht="24" customHeight="1">
      <c r="A3" s="3"/>
      <c r="B3" s="3"/>
      <c r="C3" s="3"/>
      <c r="D3" s="3"/>
      <c r="E3" s="3"/>
      <c r="F3" s="3"/>
      <c r="G3" s="3"/>
      <c r="H3" s="3"/>
    </row>
    <row r="4" spans="1:8" ht="33.950000000000003" customHeight="1">
      <c r="A4" s="56" t="s">
        <v>33</v>
      </c>
      <c r="B4" s="57"/>
      <c r="C4" s="57"/>
      <c r="D4" s="57"/>
      <c r="E4" s="57"/>
      <c r="F4" s="57"/>
      <c r="G4" s="57"/>
      <c r="H4" s="57"/>
    </row>
    <row r="5" spans="1:8" ht="24" customHeight="1">
      <c r="A5" s="1"/>
      <c r="B5" s="1"/>
      <c r="C5" s="1"/>
      <c r="D5" s="1"/>
      <c r="E5" s="1"/>
      <c r="F5" s="1"/>
      <c r="G5" s="1"/>
      <c r="H5" s="1"/>
    </row>
    <row r="6" spans="1:8" ht="24" customHeight="1">
      <c r="A6" s="21" t="s">
        <v>184</v>
      </c>
      <c r="B6" s="23" t="s">
        <v>34</v>
      </c>
      <c r="C6" s="1" t="s">
        <v>186</v>
      </c>
      <c r="D6" s="57" t="s">
        <v>37</v>
      </c>
      <c r="E6" s="57"/>
      <c r="F6" s="57"/>
      <c r="G6" s="57"/>
      <c r="H6" s="57"/>
    </row>
    <row r="7" spans="1:8" ht="24" customHeight="1">
      <c r="A7" s="22" t="s">
        <v>290</v>
      </c>
      <c r="B7" s="24" t="s">
        <v>291</v>
      </c>
      <c r="C7" s="25" t="s">
        <v>292</v>
      </c>
      <c r="D7" s="84" t="s">
        <v>293</v>
      </c>
      <c r="E7" s="60"/>
      <c r="F7" s="60"/>
      <c r="G7" s="60"/>
      <c r="H7" s="60"/>
    </row>
    <row r="8" spans="1:8" ht="24" customHeight="1">
      <c r="A8" s="1"/>
      <c r="B8" s="1"/>
      <c r="C8" s="1"/>
      <c r="D8" s="1"/>
      <c r="E8" s="1"/>
      <c r="F8" s="1"/>
      <c r="G8" s="1"/>
      <c r="H8" s="1"/>
    </row>
    <row r="9" spans="1:8" ht="24" customHeight="1">
      <c r="A9" s="5" t="s">
        <v>197</v>
      </c>
      <c r="B9" s="9" t="s">
        <v>198</v>
      </c>
      <c r="C9" s="9" t="s">
        <v>199</v>
      </c>
      <c r="D9" s="9" t="s">
        <v>200</v>
      </c>
      <c r="E9" s="9" t="s">
        <v>201</v>
      </c>
      <c r="F9" s="9" t="s">
        <v>105</v>
      </c>
      <c r="G9" s="9" t="s">
        <v>202</v>
      </c>
      <c r="H9" s="6" t="s">
        <v>203</v>
      </c>
    </row>
    <row r="10" spans="1:8" ht="42" customHeight="1">
      <c r="A10" s="8" t="s">
        <v>204</v>
      </c>
      <c r="B10" s="10" t="s">
        <v>205</v>
      </c>
      <c r="C10" s="10" t="s">
        <v>63</v>
      </c>
      <c r="D10" s="4" t="s">
        <v>206</v>
      </c>
      <c r="E10" s="4" t="s">
        <v>207</v>
      </c>
      <c r="F10" s="4" t="s">
        <v>294</v>
      </c>
      <c r="G10" s="4" t="s">
        <v>295</v>
      </c>
      <c r="H10" s="10" t="s">
        <v>166</v>
      </c>
    </row>
    <row r="11" spans="1:8" ht="42" customHeight="1">
      <c r="A11" s="8" t="s">
        <v>211</v>
      </c>
      <c r="B11" s="10" t="s">
        <v>205</v>
      </c>
      <c r="C11" s="10" t="s">
        <v>63</v>
      </c>
      <c r="D11" s="4" t="s">
        <v>206</v>
      </c>
      <c r="E11" s="4" t="s">
        <v>212</v>
      </c>
      <c r="F11" s="4" t="s">
        <v>296</v>
      </c>
      <c r="G11" s="4" t="s">
        <v>297</v>
      </c>
      <c r="H11" s="10" t="s">
        <v>166</v>
      </c>
    </row>
    <row r="12" spans="1:8" ht="42" customHeight="1">
      <c r="A12" s="8" t="s">
        <v>298</v>
      </c>
      <c r="B12" s="10" t="s">
        <v>205</v>
      </c>
      <c r="C12" s="10" t="s">
        <v>63</v>
      </c>
      <c r="D12" s="4" t="s">
        <v>206</v>
      </c>
      <c r="E12" s="4" t="s">
        <v>49</v>
      </c>
      <c r="F12" s="4" t="s">
        <v>299</v>
      </c>
      <c r="G12" s="4" t="s">
        <v>300</v>
      </c>
      <c r="H12" s="10" t="s">
        <v>301</v>
      </c>
    </row>
    <row r="13" spans="1:8" ht="42" customHeight="1">
      <c r="A13" s="8" t="s">
        <v>302</v>
      </c>
      <c r="B13" s="10" t="s">
        <v>205</v>
      </c>
      <c r="C13" s="10" t="s">
        <v>219</v>
      </c>
      <c r="D13" s="4" t="s">
        <v>220</v>
      </c>
      <c r="E13" s="4" t="s">
        <v>49</v>
      </c>
      <c r="F13" s="4" t="s">
        <v>303</v>
      </c>
      <c r="G13" s="4" t="s">
        <v>304</v>
      </c>
      <c r="H13" s="10" t="s">
        <v>145</v>
      </c>
    </row>
    <row r="14" spans="1:8" ht="42" customHeight="1">
      <c r="A14" s="8" t="s">
        <v>305</v>
      </c>
      <c r="B14" s="10" t="s">
        <v>205</v>
      </c>
      <c r="C14" s="10" t="s">
        <v>219</v>
      </c>
      <c r="D14" s="4" t="s">
        <v>220</v>
      </c>
      <c r="E14" s="4" t="s">
        <v>49</v>
      </c>
      <c r="F14" s="4" t="s">
        <v>306</v>
      </c>
      <c r="G14" s="4" t="s">
        <v>304</v>
      </c>
      <c r="H14" s="10" t="s">
        <v>145</v>
      </c>
    </row>
    <row r="15" spans="1:8" ht="42" customHeight="1">
      <c r="A15" s="8" t="s">
        <v>307</v>
      </c>
      <c r="B15" s="10" t="s">
        <v>205</v>
      </c>
      <c r="C15" s="10" t="s">
        <v>219</v>
      </c>
      <c r="D15" s="4" t="s">
        <v>220</v>
      </c>
      <c r="E15" s="4" t="s">
        <v>24</v>
      </c>
      <c r="F15" s="4" t="s">
        <v>308</v>
      </c>
      <c r="G15" s="4" t="s">
        <v>309</v>
      </c>
      <c r="H15" s="10" t="s">
        <v>301</v>
      </c>
    </row>
    <row r="16" spans="1:8" ht="42" customHeight="1">
      <c r="A16" s="8" t="s">
        <v>310</v>
      </c>
      <c r="B16" s="10" t="s">
        <v>227</v>
      </c>
      <c r="C16" s="10" t="s">
        <v>63</v>
      </c>
      <c r="D16" s="4" t="s">
        <v>311</v>
      </c>
      <c r="E16" s="4" t="s">
        <v>38</v>
      </c>
      <c r="F16" s="4" t="s">
        <v>312</v>
      </c>
      <c r="G16" s="4" t="s">
        <v>313</v>
      </c>
      <c r="H16" s="10" t="s">
        <v>145</v>
      </c>
    </row>
    <row r="17" spans="1:8" ht="42" customHeight="1">
      <c r="A17" s="8" t="s">
        <v>314</v>
      </c>
      <c r="B17" s="10" t="s">
        <v>227</v>
      </c>
      <c r="C17" s="10" t="s">
        <v>63</v>
      </c>
      <c r="D17" s="4" t="s">
        <v>311</v>
      </c>
      <c r="E17" s="4" t="s">
        <v>38</v>
      </c>
      <c r="F17" s="4" t="s">
        <v>315</v>
      </c>
      <c r="G17" s="4" t="s">
        <v>316</v>
      </c>
      <c r="H17" s="10" t="s">
        <v>145</v>
      </c>
    </row>
    <row r="18" spans="1:8" ht="42" customHeight="1">
      <c r="A18" s="8" t="s">
        <v>317</v>
      </c>
      <c r="B18" s="10" t="s">
        <v>205</v>
      </c>
      <c r="C18" s="10" t="s">
        <v>63</v>
      </c>
      <c r="D18" s="4" t="s">
        <v>206</v>
      </c>
      <c r="E18" s="4" t="s">
        <v>38</v>
      </c>
      <c r="F18" s="4" t="s">
        <v>318</v>
      </c>
      <c r="G18" s="4" t="s">
        <v>319</v>
      </c>
      <c r="H18" s="10" t="s">
        <v>145</v>
      </c>
    </row>
    <row r="19" spans="1:8" ht="42" customHeight="1">
      <c r="A19" s="8" t="s">
        <v>320</v>
      </c>
      <c r="B19" s="10" t="s">
        <v>227</v>
      </c>
      <c r="C19" s="10" t="s">
        <v>63</v>
      </c>
      <c r="D19" s="4" t="s">
        <v>311</v>
      </c>
      <c r="E19" s="4" t="s">
        <v>321</v>
      </c>
      <c r="F19" s="4" t="s">
        <v>322</v>
      </c>
      <c r="G19" s="4" t="s">
        <v>323</v>
      </c>
      <c r="H19" s="10" t="s">
        <v>145</v>
      </c>
    </row>
    <row r="20" spans="1:8" ht="42" customHeight="1">
      <c r="A20" s="8" t="s">
        <v>324</v>
      </c>
      <c r="B20" s="10" t="s">
        <v>227</v>
      </c>
      <c r="C20" s="10" t="s">
        <v>63</v>
      </c>
      <c r="D20" s="4" t="s">
        <v>311</v>
      </c>
      <c r="E20" s="4" t="s">
        <v>49</v>
      </c>
      <c r="F20" s="4" t="s">
        <v>325</v>
      </c>
      <c r="G20" s="4" t="s">
        <v>323</v>
      </c>
      <c r="H20" s="10" t="s">
        <v>145</v>
      </c>
    </row>
    <row r="21" spans="1:8" ht="24" customHeight="1">
      <c r="A21" s="1"/>
      <c r="B21" s="1"/>
      <c r="C21" s="1"/>
      <c r="D21" s="1"/>
      <c r="E21" s="1"/>
      <c r="F21" s="1"/>
      <c r="G21" s="1"/>
      <c r="H21" s="1"/>
    </row>
    <row r="22" spans="1:8" ht="24" customHeight="1">
      <c r="A22" s="1"/>
      <c r="B22" s="1"/>
      <c r="C22" s="1"/>
      <c r="D22" s="1"/>
      <c r="E22" s="1"/>
      <c r="F22" s="1"/>
      <c r="G22" s="1"/>
      <c r="H22" s="1"/>
    </row>
    <row r="23" spans="1:8" ht="24" customHeight="1">
      <c r="A23" s="12" t="s">
        <v>244</v>
      </c>
      <c r="B23" s="12"/>
      <c r="C23" s="12"/>
      <c r="D23" s="12"/>
      <c r="E23" s="12"/>
      <c r="F23" s="12"/>
      <c r="G23" s="12"/>
      <c r="H23" s="12"/>
    </row>
    <row r="24" spans="1:8" ht="24" customHeight="1">
      <c r="A24" s="14">
        <v>1</v>
      </c>
      <c r="B24" s="59" t="s">
        <v>326</v>
      </c>
      <c r="C24" s="60"/>
      <c r="D24" s="60"/>
      <c r="E24" s="60"/>
      <c r="F24" s="60"/>
      <c r="G24" s="60"/>
      <c r="H24" s="60"/>
    </row>
    <row r="25" spans="1:8" ht="24" customHeight="1">
      <c r="A25" s="14">
        <v>2</v>
      </c>
      <c r="B25" s="59" t="s">
        <v>327</v>
      </c>
      <c r="C25" s="60"/>
      <c r="D25" s="60"/>
      <c r="E25" s="60"/>
      <c r="F25" s="60"/>
      <c r="G25" s="60"/>
      <c r="H25" s="60"/>
    </row>
    <row r="26" spans="1:8" ht="24" customHeight="1">
      <c r="A26" s="14">
        <v>3</v>
      </c>
      <c r="B26" s="59" t="s">
        <v>328</v>
      </c>
      <c r="C26" s="60"/>
      <c r="D26" s="60"/>
      <c r="E26" s="60"/>
      <c r="F26" s="60"/>
      <c r="G26" s="60"/>
      <c r="H26" s="60"/>
    </row>
    <row r="27" spans="1:8" ht="24" customHeight="1">
      <c r="A27" s="14">
        <v>4</v>
      </c>
      <c r="B27" s="59" t="s">
        <v>329</v>
      </c>
      <c r="C27" s="60"/>
      <c r="D27" s="60"/>
      <c r="E27" s="60"/>
      <c r="F27" s="60"/>
      <c r="G27" s="60"/>
      <c r="H27" s="60"/>
    </row>
    <row r="28" spans="1:8" ht="24" customHeight="1">
      <c r="A28" s="1"/>
      <c r="B28" s="1"/>
      <c r="C28" s="1"/>
      <c r="D28" s="1"/>
      <c r="E28" s="1"/>
      <c r="F28" s="1"/>
      <c r="G28" s="1"/>
      <c r="H28" s="1"/>
    </row>
    <row r="29" spans="1:8" ht="24" customHeight="1">
      <c r="A29" s="1"/>
      <c r="B29" s="1"/>
      <c r="C29" s="1"/>
      <c r="D29" s="1"/>
      <c r="E29" s="1"/>
      <c r="F29" s="1"/>
      <c r="G29" s="1"/>
      <c r="H29" s="1"/>
    </row>
    <row r="30" spans="1:8" ht="24" customHeight="1">
      <c r="A30" s="26" t="s">
        <v>330</v>
      </c>
      <c r="B30" s="26"/>
      <c r="C30" s="26"/>
      <c r="D30" s="26"/>
      <c r="E30" s="26"/>
      <c r="F30" s="26"/>
      <c r="G30" s="26"/>
      <c r="H30" s="26"/>
    </row>
    <row r="31" spans="1:8" ht="224.1" customHeight="1">
      <c r="A31" s="85" t="s">
        <v>331</v>
      </c>
      <c r="B31" s="57"/>
      <c r="C31" s="57"/>
      <c r="D31" s="57"/>
      <c r="E31" s="57"/>
      <c r="F31" s="57"/>
      <c r="G31" s="57"/>
      <c r="H31" s="57"/>
    </row>
    <row r="32" spans="1:8" ht="24" customHeight="1">
      <c r="A32" s="1"/>
      <c r="B32" s="1"/>
      <c r="C32" s="1"/>
      <c r="D32" s="1"/>
      <c r="E32" s="1"/>
      <c r="F32" s="1"/>
      <c r="G32" s="1"/>
      <c r="H32" s="1"/>
    </row>
    <row r="33" spans="1:8" ht="33.950000000000003" customHeight="1">
      <c r="A33" s="27" t="s">
        <v>180</v>
      </c>
      <c r="B33" s="86" t="s">
        <v>332</v>
      </c>
      <c r="C33" s="86"/>
      <c r="D33" s="86"/>
      <c r="E33" s="86"/>
      <c r="F33" s="86"/>
      <c r="G33" s="86"/>
      <c r="H33" s="87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</sheetData>
  <mergeCells count="9">
    <mergeCell ref="B26:H26"/>
    <mergeCell ref="B27:H27"/>
    <mergeCell ref="A31:H31"/>
    <mergeCell ref="B33:H33"/>
    <mergeCell ref="A4:H4"/>
    <mergeCell ref="D6:H6"/>
    <mergeCell ref="D7:H7"/>
    <mergeCell ref="B24:H24"/>
    <mergeCell ref="B25:H25"/>
  </mergeCells>
  <phoneticPr fontId="16" type="noConversion"/>
  <conditionalFormatting sqref="H10:H20">
    <cfRule type="containsText" dxfId="14" priority="1" operator="containsText" text="확정"/>
    <cfRule type="containsText" dxfId="13" priority="2" operator="containsText" text="권장"/>
    <cfRule type="containsText" dxfId="12" priority="3" operator="containsText" text="TBD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DC3E6"/>
  </sheetPr>
  <dimension ref="A1:H45"/>
  <sheetViews>
    <sheetView showGridLines="0" workbookViewId="0">
      <pane ySplit="9" topLeftCell="A10" activePane="bottomLeft" state="frozen"/>
      <selection pane="bottomLeft"/>
    </sheetView>
  </sheetViews>
  <sheetFormatPr defaultRowHeight="14.25"/>
  <cols>
    <col min="1" max="1" width="22" customWidth="1"/>
    <col min="2" max="2" width="10" customWidth="1"/>
    <col min="3" max="3" width="11" customWidth="1"/>
    <col min="4" max="4" width="24" customWidth="1"/>
    <col min="5" max="5" width="25" customWidth="1"/>
    <col min="6" max="6" width="38" customWidth="1"/>
    <col min="7" max="7" width="42" customWidth="1"/>
    <col min="8" max="8" width="14" customWidth="1"/>
  </cols>
  <sheetData>
    <row r="1" spans="1:8" ht="24" customHeight="1">
      <c r="A1" s="1"/>
      <c r="B1" s="1"/>
      <c r="C1" s="1"/>
      <c r="D1" s="1"/>
      <c r="E1" s="1"/>
      <c r="F1" s="1"/>
      <c r="G1" s="1"/>
      <c r="H1" s="1"/>
    </row>
    <row r="2" spans="1:8" ht="24" customHeight="1">
      <c r="A2" s="2" t="s">
        <v>333</v>
      </c>
      <c r="B2" s="1"/>
      <c r="C2" s="1"/>
      <c r="D2" s="1"/>
      <c r="E2" s="1"/>
      <c r="F2" s="1"/>
      <c r="G2" s="1"/>
      <c r="H2" s="1"/>
    </row>
    <row r="3" spans="1:8" ht="24" customHeight="1">
      <c r="A3" s="3"/>
      <c r="B3" s="3"/>
      <c r="C3" s="3"/>
      <c r="D3" s="3"/>
      <c r="E3" s="3"/>
      <c r="F3" s="3"/>
      <c r="G3" s="3"/>
      <c r="H3" s="3"/>
    </row>
    <row r="4" spans="1:8" ht="33.950000000000003" customHeight="1">
      <c r="A4" s="56" t="s">
        <v>40</v>
      </c>
      <c r="B4" s="57"/>
      <c r="C4" s="57"/>
      <c r="D4" s="57"/>
      <c r="E4" s="57"/>
      <c r="F4" s="57"/>
      <c r="G4" s="57"/>
      <c r="H4" s="57"/>
    </row>
    <row r="5" spans="1:8" ht="24" customHeight="1">
      <c r="A5" s="1"/>
      <c r="B5" s="1"/>
      <c r="C5" s="1"/>
      <c r="D5" s="1"/>
      <c r="E5" s="1"/>
      <c r="F5" s="1"/>
      <c r="G5" s="1"/>
      <c r="H5" s="1"/>
    </row>
    <row r="6" spans="1:8" ht="24" customHeight="1">
      <c r="A6" s="21" t="s">
        <v>184</v>
      </c>
      <c r="B6" s="23" t="s">
        <v>34</v>
      </c>
      <c r="C6" s="1" t="s">
        <v>186</v>
      </c>
      <c r="D6" s="57" t="s">
        <v>42</v>
      </c>
      <c r="E6" s="57"/>
      <c r="F6" s="57"/>
      <c r="G6" s="57"/>
      <c r="H6" s="57"/>
    </row>
    <row r="7" spans="1:8" ht="24" customHeight="1">
      <c r="A7" s="22" t="s">
        <v>290</v>
      </c>
      <c r="B7" s="24" t="s">
        <v>291</v>
      </c>
      <c r="C7" s="25" t="s">
        <v>292</v>
      </c>
      <c r="D7" s="84" t="s">
        <v>293</v>
      </c>
      <c r="E7" s="60"/>
      <c r="F7" s="60"/>
      <c r="G7" s="60"/>
      <c r="H7" s="60"/>
    </row>
    <row r="8" spans="1:8" ht="24" customHeight="1">
      <c r="A8" s="1"/>
      <c r="B8" s="1"/>
      <c r="C8" s="1"/>
      <c r="D8" s="1"/>
      <c r="E8" s="1"/>
      <c r="F8" s="1"/>
      <c r="G8" s="1"/>
      <c r="H8" s="1"/>
    </row>
    <row r="9" spans="1:8" ht="24" customHeight="1">
      <c r="A9" s="5" t="s">
        <v>197</v>
      </c>
      <c r="B9" s="9" t="s">
        <v>198</v>
      </c>
      <c r="C9" s="9" t="s">
        <v>199</v>
      </c>
      <c r="D9" s="9" t="s">
        <v>200</v>
      </c>
      <c r="E9" s="9" t="s">
        <v>201</v>
      </c>
      <c r="F9" s="9" t="s">
        <v>105</v>
      </c>
      <c r="G9" s="9" t="s">
        <v>202</v>
      </c>
      <c r="H9" s="6" t="s">
        <v>203</v>
      </c>
    </row>
    <row r="10" spans="1:8" ht="42" customHeight="1">
      <c r="A10" s="8" t="s">
        <v>204</v>
      </c>
      <c r="B10" s="10" t="s">
        <v>205</v>
      </c>
      <c r="C10" s="10" t="s">
        <v>63</v>
      </c>
      <c r="D10" s="4" t="s">
        <v>206</v>
      </c>
      <c r="E10" s="4" t="s">
        <v>207</v>
      </c>
      <c r="F10" s="4" t="s">
        <v>334</v>
      </c>
      <c r="G10" s="4" t="s">
        <v>295</v>
      </c>
      <c r="H10" s="10" t="s">
        <v>166</v>
      </c>
    </row>
    <row r="11" spans="1:8" ht="42" customHeight="1">
      <c r="A11" s="8" t="s">
        <v>211</v>
      </c>
      <c r="B11" s="10" t="s">
        <v>205</v>
      </c>
      <c r="C11" s="10" t="s">
        <v>63</v>
      </c>
      <c r="D11" s="4" t="s">
        <v>206</v>
      </c>
      <c r="E11" s="4" t="s">
        <v>212</v>
      </c>
      <c r="F11" s="4" t="s">
        <v>335</v>
      </c>
      <c r="G11" s="4" t="s">
        <v>297</v>
      </c>
      <c r="H11" s="10" t="s">
        <v>166</v>
      </c>
    </row>
    <row r="12" spans="1:8" ht="42" customHeight="1">
      <c r="A12" s="8" t="s">
        <v>310</v>
      </c>
      <c r="B12" s="10" t="s">
        <v>205</v>
      </c>
      <c r="C12" s="10" t="s">
        <v>63</v>
      </c>
      <c r="D12" s="4" t="s">
        <v>206</v>
      </c>
      <c r="E12" s="4" t="s">
        <v>31</v>
      </c>
      <c r="F12" s="4" t="s">
        <v>336</v>
      </c>
      <c r="G12" s="4" t="s">
        <v>313</v>
      </c>
      <c r="H12" s="10" t="s">
        <v>145</v>
      </c>
    </row>
    <row r="13" spans="1:8" ht="42" customHeight="1">
      <c r="A13" s="8" t="s">
        <v>314</v>
      </c>
      <c r="B13" s="10" t="s">
        <v>205</v>
      </c>
      <c r="C13" s="10" t="s">
        <v>63</v>
      </c>
      <c r="D13" s="4" t="s">
        <v>206</v>
      </c>
      <c r="E13" s="4" t="s">
        <v>31</v>
      </c>
      <c r="F13" s="4" t="s">
        <v>337</v>
      </c>
      <c r="G13" s="4" t="s">
        <v>338</v>
      </c>
      <c r="H13" s="10" t="s">
        <v>145</v>
      </c>
    </row>
    <row r="14" spans="1:8" ht="42" customHeight="1">
      <c r="A14" s="8" t="s">
        <v>317</v>
      </c>
      <c r="B14" s="10" t="s">
        <v>227</v>
      </c>
      <c r="C14" s="10" t="s">
        <v>63</v>
      </c>
      <c r="D14" s="4" t="s">
        <v>311</v>
      </c>
      <c r="E14" s="4" t="s">
        <v>31</v>
      </c>
      <c r="F14" s="4" t="s">
        <v>339</v>
      </c>
      <c r="G14" s="4" t="s">
        <v>340</v>
      </c>
      <c r="H14" s="10" t="s">
        <v>145</v>
      </c>
    </row>
    <row r="15" spans="1:8" ht="42" customHeight="1">
      <c r="A15" s="8" t="s">
        <v>341</v>
      </c>
      <c r="B15" s="10" t="s">
        <v>205</v>
      </c>
      <c r="C15" s="10" t="s">
        <v>63</v>
      </c>
      <c r="D15" s="4" t="s">
        <v>206</v>
      </c>
      <c r="E15" s="4" t="s">
        <v>49</v>
      </c>
      <c r="F15" s="4" t="s">
        <v>342</v>
      </c>
      <c r="G15" s="4" t="s">
        <v>343</v>
      </c>
      <c r="H15" s="10" t="s">
        <v>301</v>
      </c>
    </row>
    <row r="16" spans="1:8" ht="42" customHeight="1">
      <c r="A16" s="8" t="s">
        <v>344</v>
      </c>
      <c r="B16" s="10" t="s">
        <v>227</v>
      </c>
      <c r="C16" s="10" t="s">
        <v>345</v>
      </c>
      <c r="D16" s="4" t="s">
        <v>346</v>
      </c>
      <c r="E16" s="4" t="s">
        <v>43</v>
      </c>
      <c r="F16" s="4" t="s">
        <v>347</v>
      </c>
      <c r="G16" s="4" t="s">
        <v>348</v>
      </c>
      <c r="H16" s="10" t="s">
        <v>145</v>
      </c>
    </row>
    <row r="17" spans="1:8" ht="42" customHeight="1">
      <c r="A17" s="8" t="s">
        <v>349</v>
      </c>
      <c r="B17" s="10" t="s">
        <v>227</v>
      </c>
      <c r="C17" s="10" t="s">
        <v>63</v>
      </c>
      <c r="D17" s="4" t="s">
        <v>311</v>
      </c>
      <c r="E17" s="4" t="s">
        <v>43</v>
      </c>
      <c r="F17" s="4" t="s">
        <v>350</v>
      </c>
      <c r="G17" s="4" t="s">
        <v>351</v>
      </c>
      <c r="H17" s="10" t="s">
        <v>145</v>
      </c>
    </row>
    <row r="18" spans="1:8" ht="42" customHeight="1">
      <c r="A18" s="8" t="s">
        <v>352</v>
      </c>
      <c r="B18" s="10" t="s">
        <v>227</v>
      </c>
      <c r="C18" s="10" t="s">
        <v>63</v>
      </c>
      <c r="D18" s="4" t="s">
        <v>311</v>
      </c>
      <c r="E18" s="4" t="s">
        <v>43</v>
      </c>
      <c r="F18" s="4" t="s">
        <v>353</v>
      </c>
      <c r="G18" s="4" t="s">
        <v>354</v>
      </c>
      <c r="H18" s="10" t="s">
        <v>145</v>
      </c>
    </row>
    <row r="19" spans="1:8" ht="42" customHeight="1">
      <c r="A19" s="8" t="s">
        <v>355</v>
      </c>
      <c r="B19" s="10" t="s">
        <v>205</v>
      </c>
      <c r="C19" s="10" t="s">
        <v>63</v>
      </c>
      <c r="D19" s="4" t="s">
        <v>206</v>
      </c>
      <c r="E19" s="4" t="s">
        <v>43</v>
      </c>
      <c r="F19" s="4" t="s">
        <v>356</v>
      </c>
      <c r="G19" s="4" t="s">
        <v>354</v>
      </c>
      <c r="H19" s="10" t="s">
        <v>145</v>
      </c>
    </row>
    <row r="20" spans="1:8" ht="24" customHeight="1">
      <c r="A20" s="1"/>
      <c r="B20" s="1"/>
      <c r="C20" s="1"/>
      <c r="D20" s="1"/>
      <c r="E20" s="1"/>
      <c r="F20" s="1"/>
      <c r="G20" s="1"/>
      <c r="H20" s="1"/>
    </row>
    <row r="21" spans="1:8" ht="24" customHeight="1">
      <c r="A21" s="1"/>
      <c r="B21" s="1"/>
      <c r="C21" s="1"/>
      <c r="D21" s="1"/>
      <c r="E21" s="1"/>
      <c r="F21" s="1"/>
      <c r="G21" s="1"/>
      <c r="H21" s="1"/>
    </row>
    <row r="22" spans="1:8" ht="24" customHeight="1">
      <c r="A22" s="12" t="s">
        <v>244</v>
      </c>
      <c r="B22" s="12"/>
      <c r="C22" s="12"/>
      <c r="D22" s="12"/>
      <c r="E22" s="12"/>
      <c r="F22" s="12"/>
      <c r="G22" s="12"/>
      <c r="H22" s="12"/>
    </row>
    <row r="23" spans="1:8" ht="24" customHeight="1">
      <c r="A23" s="14">
        <v>1</v>
      </c>
      <c r="B23" s="59" t="s">
        <v>357</v>
      </c>
      <c r="C23" s="60"/>
      <c r="D23" s="60"/>
      <c r="E23" s="60"/>
      <c r="F23" s="60"/>
      <c r="G23" s="60"/>
      <c r="H23" s="60"/>
    </row>
    <row r="24" spans="1:8" ht="24" customHeight="1">
      <c r="A24" s="14">
        <v>2</v>
      </c>
      <c r="B24" s="59" t="s">
        <v>358</v>
      </c>
      <c r="C24" s="60"/>
      <c r="D24" s="60"/>
      <c r="E24" s="60"/>
      <c r="F24" s="60"/>
      <c r="G24" s="60"/>
      <c r="H24" s="60"/>
    </row>
    <row r="25" spans="1:8" ht="24" customHeight="1">
      <c r="A25" s="14">
        <v>3</v>
      </c>
      <c r="B25" s="59" t="s">
        <v>359</v>
      </c>
      <c r="C25" s="60"/>
      <c r="D25" s="60"/>
      <c r="E25" s="60"/>
      <c r="F25" s="60"/>
      <c r="G25" s="60"/>
      <c r="H25" s="60"/>
    </row>
    <row r="26" spans="1:8" ht="24" customHeight="1">
      <c r="A26" s="14">
        <v>4</v>
      </c>
      <c r="B26" s="59" t="s">
        <v>360</v>
      </c>
      <c r="C26" s="60"/>
      <c r="D26" s="60"/>
      <c r="E26" s="60"/>
      <c r="F26" s="60"/>
      <c r="G26" s="60"/>
      <c r="H26" s="60"/>
    </row>
    <row r="27" spans="1:8" ht="24" customHeight="1">
      <c r="A27" s="1"/>
      <c r="B27" s="1"/>
      <c r="C27" s="1"/>
      <c r="D27" s="1"/>
      <c r="E27" s="1"/>
      <c r="F27" s="1"/>
      <c r="G27" s="1"/>
      <c r="H27" s="1"/>
    </row>
    <row r="28" spans="1:8" ht="24" customHeight="1">
      <c r="A28" s="1"/>
      <c r="B28" s="1"/>
      <c r="C28" s="1"/>
      <c r="D28" s="1"/>
      <c r="E28" s="1"/>
      <c r="F28" s="1"/>
      <c r="G28" s="1"/>
      <c r="H28" s="1"/>
    </row>
    <row r="29" spans="1:8" ht="24" customHeight="1">
      <c r="A29" s="26" t="s">
        <v>330</v>
      </c>
      <c r="B29" s="26"/>
      <c r="C29" s="26"/>
      <c r="D29" s="26"/>
      <c r="E29" s="26"/>
      <c r="F29" s="26"/>
      <c r="G29" s="26"/>
      <c r="H29" s="26"/>
    </row>
    <row r="30" spans="1:8" ht="207.95" customHeight="1">
      <c r="A30" s="85" t="s">
        <v>361</v>
      </c>
      <c r="B30" s="57"/>
      <c r="C30" s="57"/>
      <c r="D30" s="57"/>
      <c r="E30" s="57"/>
      <c r="F30" s="57"/>
      <c r="G30" s="57"/>
      <c r="H30" s="57"/>
    </row>
    <row r="31" spans="1:8" ht="24" customHeight="1">
      <c r="A31" s="1"/>
      <c r="B31" s="1"/>
      <c r="C31" s="1"/>
      <c r="D31" s="1"/>
      <c r="E31" s="1"/>
      <c r="F31" s="1"/>
      <c r="G31" s="1"/>
      <c r="H31" s="1"/>
    </row>
    <row r="32" spans="1:8" ht="33.950000000000003" customHeight="1">
      <c r="A32" s="27" t="s">
        <v>180</v>
      </c>
      <c r="B32" s="86" t="s">
        <v>332</v>
      </c>
      <c r="C32" s="86"/>
      <c r="D32" s="86"/>
      <c r="E32" s="86"/>
      <c r="F32" s="86"/>
      <c r="G32" s="86"/>
      <c r="H32" s="87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</sheetData>
  <mergeCells count="9">
    <mergeCell ref="B25:H25"/>
    <mergeCell ref="B26:H26"/>
    <mergeCell ref="A30:H30"/>
    <mergeCell ref="B32:H32"/>
    <mergeCell ref="A4:H4"/>
    <mergeCell ref="D6:H6"/>
    <mergeCell ref="D7:H7"/>
    <mergeCell ref="B23:H23"/>
    <mergeCell ref="B24:H24"/>
  </mergeCells>
  <phoneticPr fontId="16" type="noConversion"/>
  <conditionalFormatting sqref="H10:H19">
    <cfRule type="containsText" dxfId="11" priority="1" operator="containsText" text="확정"/>
    <cfRule type="containsText" dxfId="10" priority="2" operator="containsText" text="권장"/>
    <cfRule type="containsText" dxfId="9" priority="3" operator="containsText" text="TBD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DC3E6"/>
  </sheetPr>
  <dimension ref="A1:H45"/>
  <sheetViews>
    <sheetView showGridLines="0" workbookViewId="0">
      <pane ySplit="9" topLeftCell="A10" activePane="bottomLeft" state="frozen"/>
      <selection pane="bottomLeft"/>
    </sheetView>
  </sheetViews>
  <sheetFormatPr defaultRowHeight="14.25"/>
  <cols>
    <col min="1" max="1" width="22" customWidth="1"/>
    <col min="2" max="2" width="10" customWidth="1"/>
    <col min="3" max="3" width="11" customWidth="1"/>
    <col min="4" max="4" width="24" customWidth="1"/>
    <col min="5" max="5" width="25" customWidth="1"/>
    <col min="6" max="6" width="38" customWidth="1"/>
    <col min="7" max="7" width="42" customWidth="1"/>
    <col min="8" max="8" width="14" customWidth="1"/>
  </cols>
  <sheetData>
    <row r="1" spans="1:8" ht="24" customHeight="1">
      <c r="A1" s="1"/>
      <c r="B1" s="1"/>
      <c r="C1" s="1"/>
      <c r="D1" s="1"/>
      <c r="E1" s="1"/>
      <c r="F1" s="1"/>
      <c r="G1" s="1"/>
      <c r="H1" s="1"/>
    </row>
    <row r="2" spans="1:8" ht="24" customHeight="1">
      <c r="A2" s="2" t="s">
        <v>362</v>
      </c>
      <c r="B2" s="1"/>
      <c r="C2" s="1"/>
      <c r="D2" s="1"/>
      <c r="E2" s="1"/>
      <c r="F2" s="1"/>
      <c r="G2" s="1"/>
      <c r="H2" s="1"/>
    </row>
    <row r="3" spans="1:8" ht="24" customHeight="1">
      <c r="A3" s="3"/>
      <c r="B3" s="3"/>
      <c r="C3" s="3"/>
      <c r="D3" s="3"/>
      <c r="E3" s="3"/>
      <c r="F3" s="3"/>
      <c r="G3" s="3"/>
      <c r="H3" s="3"/>
    </row>
    <row r="4" spans="1:8" ht="33.950000000000003" customHeight="1">
      <c r="A4" s="56" t="s">
        <v>45</v>
      </c>
      <c r="B4" s="57"/>
      <c r="C4" s="57"/>
      <c r="D4" s="57"/>
      <c r="E4" s="57"/>
      <c r="F4" s="57"/>
      <c r="G4" s="57"/>
      <c r="H4" s="57"/>
    </row>
    <row r="5" spans="1:8" ht="24" customHeight="1">
      <c r="A5" s="1"/>
      <c r="B5" s="1"/>
      <c r="C5" s="1"/>
      <c r="D5" s="1"/>
      <c r="E5" s="1"/>
      <c r="F5" s="1"/>
      <c r="G5" s="1"/>
      <c r="H5" s="1"/>
    </row>
    <row r="6" spans="1:8" ht="24" customHeight="1">
      <c r="A6" s="21" t="s">
        <v>184</v>
      </c>
      <c r="B6" s="23" t="s">
        <v>46</v>
      </c>
      <c r="C6" s="1" t="s">
        <v>186</v>
      </c>
      <c r="D6" s="57" t="s">
        <v>48</v>
      </c>
      <c r="E6" s="57"/>
      <c r="F6" s="57"/>
      <c r="G6" s="57"/>
      <c r="H6" s="57"/>
    </row>
    <row r="7" spans="1:8" ht="24" customHeight="1">
      <c r="A7" s="22" t="s">
        <v>290</v>
      </c>
      <c r="B7" s="24" t="s">
        <v>291</v>
      </c>
      <c r="C7" s="25" t="s">
        <v>292</v>
      </c>
      <c r="D7" s="84" t="s">
        <v>293</v>
      </c>
      <c r="E7" s="60"/>
      <c r="F7" s="60"/>
      <c r="G7" s="60"/>
      <c r="H7" s="60"/>
    </row>
    <row r="8" spans="1:8" ht="24" customHeight="1">
      <c r="A8" s="1"/>
      <c r="B8" s="1"/>
      <c r="C8" s="1"/>
      <c r="D8" s="1"/>
      <c r="E8" s="1"/>
      <c r="F8" s="1"/>
      <c r="G8" s="1"/>
      <c r="H8" s="1"/>
    </row>
    <row r="9" spans="1:8" ht="24" customHeight="1">
      <c r="A9" s="5" t="s">
        <v>197</v>
      </c>
      <c r="B9" s="9" t="s">
        <v>198</v>
      </c>
      <c r="C9" s="9" t="s">
        <v>199</v>
      </c>
      <c r="D9" s="9" t="s">
        <v>200</v>
      </c>
      <c r="E9" s="9" t="s">
        <v>201</v>
      </c>
      <c r="F9" s="9" t="s">
        <v>105</v>
      </c>
      <c r="G9" s="9" t="s">
        <v>202</v>
      </c>
      <c r="H9" s="6" t="s">
        <v>203</v>
      </c>
    </row>
    <row r="10" spans="1:8" ht="42" customHeight="1">
      <c r="A10" s="8" t="s">
        <v>204</v>
      </c>
      <c r="B10" s="10" t="s">
        <v>205</v>
      </c>
      <c r="C10" s="10" t="s">
        <v>63</v>
      </c>
      <c r="D10" s="4" t="s">
        <v>206</v>
      </c>
      <c r="E10" s="4" t="s">
        <v>207</v>
      </c>
      <c r="F10" s="4" t="s">
        <v>363</v>
      </c>
      <c r="G10" s="4" t="s">
        <v>295</v>
      </c>
      <c r="H10" s="10" t="s">
        <v>166</v>
      </c>
    </row>
    <row r="11" spans="1:8" ht="42" customHeight="1">
      <c r="A11" s="8" t="s">
        <v>211</v>
      </c>
      <c r="B11" s="10" t="s">
        <v>205</v>
      </c>
      <c r="C11" s="10" t="s">
        <v>63</v>
      </c>
      <c r="D11" s="4" t="s">
        <v>206</v>
      </c>
      <c r="E11" s="4" t="s">
        <v>212</v>
      </c>
      <c r="F11" s="4" t="s">
        <v>364</v>
      </c>
      <c r="G11" s="4" t="s">
        <v>297</v>
      </c>
      <c r="H11" s="10" t="s">
        <v>166</v>
      </c>
    </row>
    <row r="12" spans="1:8" ht="42" customHeight="1">
      <c r="A12" s="8" t="s">
        <v>344</v>
      </c>
      <c r="B12" s="10" t="s">
        <v>205</v>
      </c>
      <c r="C12" s="10" t="s">
        <v>345</v>
      </c>
      <c r="D12" s="4" t="s">
        <v>365</v>
      </c>
      <c r="E12" s="4" t="s">
        <v>38</v>
      </c>
      <c r="F12" s="4" t="s">
        <v>366</v>
      </c>
      <c r="G12" s="4" t="s">
        <v>348</v>
      </c>
      <c r="H12" s="10" t="s">
        <v>145</v>
      </c>
    </row>
    <row r="13" spans="1:8" ht="42" customHeight="1">
      <c r="A13" s="8" t="s">
        <v>349</v>
      </c>
      <c r="B13" s="10" t="s">
        <v>205</v>
      </c>
      <c r="C13" s="10" t="s">
        <v>63</v>
      </c>
      <c r="D13" s="4" t="s">
        <v>206</v>
      </c>
      <c r="E13" s="4" t="s">
        <v>38</v>
      </c>
      <c r="F13" s="4" t="s">
        <v>367</v>
      </c>
      <c r="G13" s="4" t="s">
        <v>368</v>
      </c>
      <c r="H13" s="10" t="s">
        <v>145</v>
      </c>
    </row>
    <row r="14" spans="1:8" ht="42" customHeight="1">
      <c r="A14" s="8" t="s">
        <v>352</v>
      </c>
      <c r="B14" s="10" t="s">
        <v>205</v>
      </c>
      <c r="C14" s="10" t="s">
        <v>63</v>
      </c>
      <c r="D14" s="4" t="s">
        <v>206</v>
      </c>
      <c r="E14" s="4" t="s">
        <v>38</v>
      </c>
      <c r="F14" s="4" t="s">
        <v>369</v>
      </c>
      <c r="G14" s="4" t="s">
        <v>354</v>
      </c>
      <c r="H14" s="10" t="s">
        <v>145</v>
      </c>
    </row>
    <row r="15" spans="1:8" ht="42" customHeight="1">
      <c r="A15" s="8" t="s">
        <v>355</v>
      </c>
      <c r="B15" s="10" t="s">
        <v>227</v>
      </c>
      <c r="C15" s="10" t="s">
        <v>63</v>
      </c>
      <c r="D15" s="4" t="s">
        <v>311</v>
      </c>
      <c r="E15" s="4" t="s">
        <v>370</v>
      </c>
      <c r="F15" s="4" t="s">
        <v>371</v>
      </c>
      <c r="G15" s="4" t="s">
        <v>354</v>
      </c>
      <c r="H15" s="10" t="s">
        <v>145</v>
      </c>
    </row>
    <row r="16" spans="1:8" ht="42" customHeight="1">
      <c r="A16" s="8" t="s">
        <v>372</v>
      </c>
      <c r="B16" s="10" t="s">
        <v>227</v>
      </c>
      <c r="C16" s="10" t="s">
        <v>63</v>
      </c>
      <c r="D16" s="4" t="s">
        <v>311</v>
      </c>
      <c r="E16" s="4" t="s">
        <v>373</v>
      </c>
      <c r="F16" s="4" t="s">
        <v>374</v>
      </c>
      <c r="G16" s="4" t="s">
        <v>375</v>
      </c>
      <c r="H16" s="10" t="s">
        <v>145</v>
      </c>
    </row>
    <row r="17" spans="1:8" ht="42" customHeight="1">
      <c r="A17" s="8" t="s">
        <v>376</v>
      </c>
      <c r="B17" s="10" t="s">
        <v>227</v>
      </c>
      <c r="C17" s="10" t="s">
        <v>63</v>
      </c>
      <c r="D17" s="4" t="s">
        <v>311</v>
      </c>
      <c r="E17" s="4" t="s">
        <v>377</v>
      </c>
      <c r="F17" s="4" t="s">
        <v>378</v>
      </c>
      <c r="G17" s="4" t="s">
        <v>379</v>
      </c>
      <c r="H17" s="10" t="s">
        <v>145</v>
      </c>
    </row>
    <row r="18" spans="1:8" ht="24" customHeight="1">
      <c r="A18" s="1"/>
      <c r="B18" s="1"/>
      <c r="C18" s="1"/>
      <c r="D18" s="1"/>
      <c r="E18" s="1"/>
      <c r="F18" s="1"/>
      <c r="G18" s="1"/>
      <c r="H18" s="1"/>
    </row>
    <row r="19" spans="1:8" ht="24" customHeight="1">
      <c r="A19" s="1"/>
      <c r="B19" s="1"/>
      <c r="C19" s="1"/>
      <c r="D19" s="1"/>
      <c r="E19" s="1"/>
      <c r="F19" s="1"/>
      <c r="G19" s="1"/>
      <c r="H19" s="1"/>
    </row>
    <row r="20" spans="1:8" ht="24" customHeight="1">
      <c r="A20" s="12" t="s">
        <v>244</v>
      </c>
      <c r="B20" s="12"/>
      <c r="C20" s="12"/>
      <c r="D20" s="12"/>
      <c r="E20" s="12"/>
      <c r="F20" s="12"/>
      <c r="G20" s="12"/>
      <c r="H20" s="12"/>
    </row>
    <row r="21" spans="1:8" ht="24" customHeight="1">
      <c r="A21" s="14">
        <v>1</v>
      </c>
      <c r="B21" s="59" t="s">
        <v>380</v>
      </c>
      <c r="C21" s="60"/>
      <c r="D21" s="60"/>
      <c r="E21" s="60"/>
      <c r="F21" s="60"/>
      <c r="G21" s="60"/>
      <c r="H21" s="60"/>
    </row>
    <row r="22" spans="1:8" ht="24" customHeight="1">
      <c r="A22" s="14">
        <v>2</v>
      </c>
      <c r="B22" s="59" t="s">
        <v>381</v>
      </c>
      <c r="C22" s="60"/>
      <c r="D22" s="60"/>
      <c r="E22" s="60"/>
      <c r="F22" s="60"/>
      <c r="G22" s="60"/>
      <c r="H22" s="60"/>
    </row>
    <row r="23" spans="1:8" ht="24" customHeight="1">
      <c r="A23" s="14">
        <v>3</v>
      </c>
      <c r="B23" s="59" t="s">
        <v>382</v>
      </c>
      <c r="C23" s="60"/>
      <c r="D23" s="60"/>
      <c r="E23" s="60"/>
      <c r="F23" s="60"/>
      <c r="G23" s="60"/>
      <c r="H23" s="60"/>
    </row>
    <row r="24" spans="1:8" ht="24" customHeight="1">
      <c r="A24" s="14">
        <v>4</v>
      </c>
      <c r="B24" s="59" t="s">
        <v>383</v>
      </c>
      <c r="C24" s="60"/>
      <c r="D24" s="60"/>
      <c r="E24" s="60"/>
      <c r="F24" s="60"/>
      <c r="G24" s="60"/>
      <c r="H24" s="60"/>
    </row>
    <row r="25" spans="1:8" ht="24" customHeight="1">
      <c r="A25" s="1"/>
      <c r="B25" s="1"/>
      <c r="C25" s="1"/>
      <c r="D25" s="1"/>
      <c r="E25" s="1"/>
      <c r="F25" s="1"/>
      <c r="G25" s="1"/>
      <c r="H25" s="1"/>
    </row>
    <row r="26" spans="1:8" ht="24" customHeight="1">
      <c r="A26" s="1"/>
      <c r="B26" s="1"/>
      <c r="C26" s="1"/>
      <c r="D26" s="1"/>
      <c r="E26" s="1"/>
      <c r="F26" s="1"/>
      <c r="G26" s="1"/>
      <c r="H26" s="1"/>
    </row>
    <row r="27" spans="1:8" ht="24" customHeight="1">
      <c r="A27" s="26" t="s">
        <v>330</v>
      </c>
      <c r="B27" s="26"/>
      <c r="C27" s="26"/>
      <c r="D27" s="26"/>
      <c r="E27" s="26"/>
      <c r="F27" s="26"/>
      <c r="G27" s="26"/>
      <c r="H27" s="26"/>
    </row>
    <row r="28" spans="1:8" ht="176.1" customHeight="1">
      <c r="A28" s="85" t="s">
        <v>384</v>
      </c>
      <c r="B28" s="57"/>
      <c r="C28" s="57"/>
      <c r="D28" s="57"/>
      <c r="E28" s="57"/>
      <c r="F28" s="57"/>
      <c r="G28" s="57"/>
      <c r="H28" s="57"/>
    </row>
    <row r="29" spans="1:8" ht="24" customHeight="1">
      <c r="A29" s="1"/>
      <c r="B29" s="1"/>
      <c r="C29" s="1"/>
      <c r="D29" s="1"/>
      <c r="E29" s="1"/>
      <c r="F29" s="1"/>
      <c r="G29" s="1"/>
      <c r="H29" s="1"/>
    </row>
    <row r="30" spans="1:8" ht="33.950000000000003" customHeight="1">
      <c r="A30" s="27" t="s">
        <v>180</v>
      </c>
      <c r="B30" s="86" t="s">
        <v>332</v>
      </c>
      <c r="C30" s="86"/>
      <c r="D30" s="86"/>
      <c r="E30" s="86"/>
      <c r="F30" s="86"/>
      <c r="G30" s="86"/>
      <c r="H30" s="87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</sheetData>
  <mergeCells count="9">
    <mergeCell ref="B23:H23"/>
    <mergeCell ref="B24:H24"/>
    <mergeCell ref="A28:H28"/>
    <mergeCell ref="B30:H30"/>
    <mergeCell ref="A4:H4"/>
    <mergeCell ref="D6:H6"/>
    <mergeCell ref="D7:H7"/>
    <mergeCell ref="B21:H21"/>
    <mergeCell ref="B22:H22"/>
  </mergeCells>
  <phoneticPr fontId="16" type="noConversion"/>
  <conditionalFormatting sqref="H10:H17">
    <cfRule type="containsText" dxfId="8" priority="1" operator="containsText" text="확정"/>
    <cfRule type="containsText" dxfId="7" priority="2" operator="containsText" text="권장"/>
    <cfRule type="containsText" dxfId="6" priority="3" operator="containsText" text="TBD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DC3E6"/>
  </sheetPr>
  <dimension ref="A1:H45"/>
  <sheetViews>
    <sheetView showGridLines="0" workbookViewId="0">
      <pane ySplit="9" topLeftCell="A10" activePane="bottomLeft" state="frozen"/>
      <selection pane="bottomLeft"/>
    </sheetView>
  </sheetViews>
  <sheetFormatPr defaultRowHeight="14.25"/>
  <cols>
    <col min="1" max="1" width="22" customWidth="1"/>
    <col min="2" max="2" width="10" customWidth="1"/>
    <col min="3" max="3" width="11" customWidth="1"/>
    <col min="4" max="4" width="24" customWidth="1"/>
    <col min="5" max="5" width="25" customWidth="1"/>
    <col min="6" max="6" width="38" customWidth="1"/>
    <col min="7" max="7" width="42" customWidth="1"/>
    <col min="8" max="8" width="14" customWidth="1"/>
  </cols>
  <sheetData>
    <row r="1" spans="1:8" ht="24" customHeight="1">
      <c r="A1" s="1"/>
      <c r="B1" s="1"/>
      <c r="C1" s="1"/>
      <c r="D1" s="1"/>
      <c r="E1" s="1"/>
      <c r="F1" s="1"/>
      <c r="G1" s="1"/>
      <c r="H1" s="1"/>
    </row>
    <row r="2" spans="1:8" ht="24" customHeight="1">
      <c r="A2" s="2" t="s">
        <v>385</v>
      </c>
      <c r="B2" s="1"/>
      <c r="C2" s="1"/>
      <c r="D2" s="1"/>
      <c r="E2" s="1"/>
      <c r="F2" s="1"/>
      <c r="G2" s="1"/>
      <c r="H2" s="1"/>
    </row>
    <row r="3" spans="1:8" ht="24" customHeight="1">
      <c r="A3" s="3"/>
      <c r="B3" s="3"/>
      <c r="C3" s="3"/>
      <c r="D3" s="3"/>
      <c r="E3" s="3"/>
      <c r="F3" s="3"/>
      <c r="G3" s="3"/>
      <c r="H3" s="3"/>
    </row>
    <row r="4" spans="1:8" ht="33.950000000000003" customHeight="1">
      <c r="A4" s="56" t="s">
        <v>51</v>
      </c>
      <c r="B4" s="57"/>
      <c r="C4" s="57"/>
      <c r="D4" s="57"/>
      <c r="E4" s="57"/>
      <c r="F4" s="57"/>
      <c r="G4" s="57"/>
      <c r="H4" s="57"/>
    </row>
    <row r="5" spans="1:8" ht="24" customHeight="1">
      <c r="A5" s="1"/>
      <c r="B5" s="1"/>
      <c r="C5" s="1"/>
      <c r="D5" s="1"/>
      <c r="E5" s="1"/>
      <c r="F5" s="1"/>
      <c r="G5" s="1"/>
      <c r="H5" s="1"/>
    </row>
    <row r="6" spans="1:8" ht="24" customHeight="1">
      <c r="A6" s="21" t="s">
        <v>184</v>
      </c>
      <c r="B6" s="23" t="s">
        <v>52</v>
      </c>
      <c r="C6" s="1" t="s">
        <v>186</v>
      </c>
      <c r="D6" s="57" t="s">
        <v>54</v>
      </c>
      <c r="E6" s="57"/>
      <c r="F6" s="57"/>
      <c r="G6" s="57"/>
      <c r="H6" s="57"/>
    </row>
    <row r="7" spans="1:8" ht="24" customHeight="1">
      <c r="A7" s="22" t="s">
        <v>290</v>
      </c>
      <c r="B7" s="24" t="s">
        <v>291</v>
      </c>
      <c r="C7" s="25" t="s">
        <v>292</v>
      </c>
      <c r="D7" s="84" t="s">
        <v>293</v>
      </c>
      <c r="E7" s="60"/>
      <c r="F7" s="60"/>
      <c r="G7" s="60"/>
      <c r="H7" s="60"/>
    </row>
    <row r="8" spans="1:8" ht="24" customHeight="1">
      <c r="A8" s="1"/>
      <c r="B8" s="1"/>
      <c r="C8" s="1"/>
      <c r="D8" s="1"/>
      <c r="E8" s="1"/>
      <c r="F8" s="1"/>
      <c r="G8" s="1"/>
      <c r="H8" s="1"/>
    </row>
    <row r="9" spans="1:8" ht="24" customHeight="1">
      <c r="A9" s="5" t="s">
        <v>197</v>
      </c>
      <c r="B9" s="9" t="s">
        <v>198</v>
      </c>
      <c r="C9" s="9" t="s">
        <v>199</v>
      </c>
      <c r="D9" s="9" t="s">
        <v>200</v>
      </c>
      <c r="E9" s="9" t="s">
        <v>201</v>
      </c>
      <c r="F9" s="9" t="s">
        <v>105</v>
      </c>
      <c r="G9" s="9" t="s">
        <v>202</v>
      </c>
      <c r="H9" s="6" t="s">
        <v>203</v>
      </c>
    </row>
    <row r="10" spans="1:8" ht="42" customHeight="1">
      <c r="A10" s="8" t="s">
        <v>204</v>
      </c>
      <c r="B10" s="10" t="s">
        <v>205</v>
      </c>
      <c r="C10" s="10" t="s">
        <v>63</v>
      </c>
      <c r="D10" s="4" t="s">
        <v>206</v>
      </c>
      <c r="E10" s="4" t="s">
        <v>207</v>
      </c>
      <c r="F10" s="4" t="s">
        <v>386</v>
      </c>
      <c r="G10" s="4" t="s">
        <v>295</v>
      </c>
      <c r="H10" s="10" t="s">
        <v>166</v>
      </c>
    </row>
    <row r="11" spans="1:8" ht="42" customHeight="1">
      <c r="A11" s="8" t="s">
        <v>211</v>
      </c>
      <c r="B11" s="10" t="s">
        <v>205</v>
      </c>
      <c r="C11" s="10" t="s">
        <v>63</v>
      </c>
      <c r="D11" s="4" t="s">
        <v>206</v>
      </c>
      <c r="E11" s="4" t="s">
        <v>212</v>
      </c>
      <c r="F11" s="4" t="s">
        <v>387</v>
      </c>
      <c r="G11" s="4" t="s">
        <v>297</v>
      </c>
      <c r="H11" s="10" t="s">
        <v>166</v>
      </c>
    </row>
    <row r="12" spans="1:8" ht="42" customHeight="1">
      <c r="A12" s="8" t="s">
        <v>388</v>
      </c>
      <c r="B12" s="10" t="s">
        <v>205</v>
      </c>
      <c r="C12" s="10" t="s">
        <v>219</v>
      </c>
      <c r="D12" s="4" t="s">
        <v>220</v>
      </c>
      <c r="E12" s="4" t="s">
        <v>389</v>
      </c>
      <c r="F12" s="4" t="s">
        <v>390</v>
      </c>
      <c r="G12" s="4" t="s">
        <v>391</v>
      </c>
      <c r="H12" s="10" t="s">
        <v>145</v>
      </c>
    </row>
    <row r="13" spans="1:8" ht="42" customHeight="1">
      <c r="A13" s="8" t="s">
        <v>392</v>
      </c>
      <c r="B13" s="10" t="s">
        <v>205</v>
      </c>
      <c r="C13" s="10" t="s">
        <v>63</v>
      </c>
      <c r="D13" s="4" t="s">
        <v>206</v>
      </c>
      <c r="E13" s="4" t="s">
        <v>389</v>
      </c>
      <c r="F13" s="4" t="s">
        <v>393</v>
      </c>
      <c r="G13" s="4" t="s">
        <v>394</v>
      </c>
      <c r="H13" s="10" t="s">
        <v>145</v>
      </c>
    </row>
    <row r="14" spans="1:8" ht="42" customHeight="1">
      <c r="A14" s="8" t="s">
        <v>395</v>
      </c>
      <c r="B14" s="10" t="s">
        <v>227</v>
      </c>
      <c r="C14" s="10" t="s">
        <v>63</v>
      </c>
      <c r="D14" s="4" t="s">
        <v>311</v>
      </c>
      <c r="E14" s="4" t="s">
        <v>389</v>
      </c>
      <c r="F14" s="4" t="s">
        <v>396</v>
      </c>
      <c r="G14" s="4" t="s">
        <v>397</v>
      </c>
      <c r="H14" s="10" t="s">
        <v>145</v>
      </c>
    </row>
    <row r="15" spans="1:8" ht="42" customHeight="1">
      <c r="A15" s="8" t="s">
        <v>398</v>
      </c>
      <c r="B15" s="10" t="s">
        <v>227</v>
      </c>
      <c r="C15" s="10" t="s">
        <v>63</v>
      </c>
      <c r="D15" s="4" t="s">
        <v>311</v>
      </c>
      <c r="E15" s="4" t="s">
        <v>399</v>
      </c>
      <c r="F15" s="4" t="s">
        <v>400</v>
      </c>
      <c r="G15" s="4" t="s">
        <v>401</v>
      </c>
      <c r="H15" s="10" t="s">
        <v>145</v>
      </c>
    </row>
    <row r="16" spans="1:8" ht="42" customHeight="1">
      <c r="A16" s="8" t="s">
        <v>402</v>
      </c>
      <c r="B16" s="10" t="s">
        <v>227</v>
      </c>
      <c r="C16" s="10" t="s">
        <v>219</v>
      </c>
      <c r="D16" s="4" t="s">
        <v>228</v>
      </c>
      <c r="E16" s="4" t="s">
        <v>403</v>
      </c>
      <c r="F16" s="4" t="s">
        <v>404</v>
      </c>
      <c r="G16" s="4" t="s">
        <v>405</v>
      </c>
      <c r="H16" s="10" t="s">
        <v>301</v>
      </c>
    </row>
    <row r="17" spans="1:8" ht="42" customHeight="1">
      <c r="A17" s="8" t="s">
        <v>302</v>
      </c>
      <c r="B17" s="10" t="s">
        <v>227</v>
      </c>
      <c r="C17" s="10" t="s">
        <v>219</v>
      </c>
      <c r="D17" s="4" t="s">
        <v>228</v>
      </c>
      <c r="E17" s="4" t="s">
        <v>403</v>
      </c>
      <c r="F17" s="4" t="s">
        <v>406</v>
      </c>
      <c r="G17" s="4" t="s">
        <v>407</v>
      </c>
      <c r="H17" s="10" t="s">
        <v>145</v>
      </c>
    </row>
    <row r="18" spans="1:8" ht="42" customHeight="1">
      <c r="A18" s="8" t="s">
        <v>341</v>
      </c>
      <c r="B18" s="10" t="s">
        <v>227</v>
      </c>
      <c r="C18" s="10" t="s">
        <v>63</v>
      </c>
      <c r="D18" s="4" t="s">
        <v>311</v>
      </c>
      <c r="E18" s="4" t="s">
        <v>38</v>
      </c>
      <c r="F18" s="4" t="s">
        <v>408</v>
      </c>
      <c r="G18" s="4" t="s">
        <v>343</v>
      </c>
      <c r="H18" s="10" t="s">
        <v>301</v>
      </c>
    </row>
    <row r="19" spans="1:8" ht="42" customHeight="1">
      <c r="A19" s="8" t="s">
        <v>355</v>
      </c>
      <c r="B19" s="10" t="s">
        <v>205</v>
      </c>
      <c r="C19" s="10" t="s">
        <v>63</v>
      </c>
      <c r="D19" s="4" t="s">
        <v>206</v>
      </c>
      <c r="E19" s="4" t="s">
        <v>43</v>
      </c>
      <c r="F19" s="4" t="s">
        <v>409</v>
      </c>
      <c r="G19" s="4" t="s">
        <v>410</v>
      </c>
      <c r="H19" s="10" t="s">
        <v>301</v>
      </c>
    </row>
    <row r="20" spans="1:8" ht="42" customHeight="1">
      <c r="A20" s="8" t="s">
        <v>411</v>
      </c>
      <c r="B20" s="10" t="s">
        <v>227</v>
      </c>
      <c r="C20" s="10" t="s">
        <v>63</v>
      </c>
      <c r="D20" s="4" t="s">
        <v>311</v>
      </c>
      <c r="E20" s="4" t="s">
        <v>31</v>
      </c>
      <c r="F20" s="4" t="s">
        <v>412</v>
      </c>
      <c r="G20" s="4" t="s">
        <v>413</v>
      </c>
      <c r="H20" s="10" t="s">
        <v>301</v>
      </c>
    </row>
    <row r="21" spans="1:8" ht="42" customHeight="1">
      <c r="A21" s="8" t="s">
        <v>324</v>
      </c>
      <c r="B21" s="10" t="s">
        <v>205</v>
      </c>
      <c r="C21" s="10" t="s">
        <v>63</v>
      </c>
      <c r="D21" s="4" t="s">
        <v>206</v>
      </c>
      <c r="E21" s="4" t="s">
        <v>31</v>
      </c>
      <c r="F21" s="4" t="s">
        <v>414</v>
      </c>
      <c r="G21" s="4" t="s">
        <v>323</v>
      </c>
      <c r="H21" s="10" t="s">
        <v>145</v>
      </c>
    </row>
    <row r="22" spans="1:8" ht="24" customHeight="1">
      <c r="A22" s="1"/>
      <c r="B22" s="1"/>
      <c r="C22" s="1"/>
      <c r="D22" s="1"/>
      <c r="E22" s="1"/>
      <c r="F22" s="1"/>
      <c r="G22" s="1"/>
      <c r="H22" s="1"/>
    </row>
    <row r="23" spans="1:8" ht="24" customHeight="1">
      <c r="A23" s="1"/>
      <c r="B23" s="1"/>
      <c r="C23" s="1"/>
      <c r="D23" s="1"/>
      <c r="E23" s="1"/>
      <c r="F23" s="1"/>
      <c r="G23" s="1"/>
      <c r="H23" s="1"/>
    </row>
    <row r="24" spans="1:8" ht="24" customHeight="1">
      <c r="A24" s="12" t="s">
        <v>244</v>
      </c>
      <c r="B24" s="12"/>
      <c r="C24" s="12"/>
      <c r="D24" s="12"/>
      <c r="E24" s="12"/>
      <c r="F24" s="12"/>
      <c r="G24" s="12"/>
      <c r="H24" s="12"/>
    </row>
    <row r="25" spans="1:8" ht="24" customHeight="1">
      <c r="A25" s="14">
        <v>1</v>
      </c>
      <c r="B25" s="59" t="s">
        <v>415</v>
      </c>
      <c r="C25" s="60"/>
      <c r="D25" s="60"/>
      <c r="E25" s="60"/>
      <c r="F25" s="60"/>
      <c r="G25" s="60"/>
      <c r="H25" s="60"/>
    </row>
    <row r="26" spans="1:8" ht="24" customHeight="1">
      <c r="A26" s="14">
        <v>2</v>
      </c>
      <c r="B26" s="59" t="s">
        <v>416</v>
      </c>
      <c r="C26" s="60"/>
      <c r="D26" s="60"/>
      <c r="E26" s="60"/>
      <c r="F26" s="60"/>
      <c r="G26" s="60"/>
      <c r="H26" s="60"/>
    </row>
    <row r="27" spans="1:8" ht="24" customHeight="1">
      <c r="A27" s="14">
        <v>3</v>
      </c>
      <c r="B27" s="59" t="s">
        <v>417</v>
      </c>
      <c r="C27" s="60"/>
      <c r="D27" s="60"/>
      <c r="E27" s="60"/>
      <c r="F27" s="60"/>
      <c r="G27" s="60"/>
      <c r="H27" s="60"/>
    </row>
    <row r="28" spans="1:8" ht="24" customHeight="1">
      <c r="A28" s="14">
        <v>4</v>
      </c>
      <c r="B28" s="59" t="s">
        <v>418</v>
      </c>
      <c r="C28" s="60"/>
      <c r="D28" s="60"/>
      <c r="E28" s="60"/>
      <c r="F28" s="60"/>
      <c r="G28" s="60"/>
      <c r="H28" s="60"/>
    </row>
    <row r="29" spans="1:8" ht="24" customHeight="1">
      <c r="A29" s="1"/>
      <c r="B29" s="1"/>
      <c r="C29" s="1"/>
      <c r="D29" s="1"/>
      <c r="E29" s="1"/>
      <c r="F29" s="1"/>
      <c r="G29" s="1"/>
      <c r="H29" s="1"/>
    </row>
    <row r="30" spans="1:8" ht="24" customHeight="1">
      <c r="A30" s="1"/>
      <c r="B30" s="1"/>
      <c r="C30" s="1"/>
      <c r="D30" s="1"/>
      <c r="E30" s="1"/>
      <c r="F30" s="1"/>
      <c r="G30" s="1"/>
      <c r="H30" s="1"/>
    </row>
    <row r="31" spans="1:8" ht="24" customHeight="1">
      <c r="A31" s="26" t="s">
        <v>330</v>
      </c>
      <c r="B31" s="26"/>
      <c r="C31" s="26"/>
      <c r="D31" s="26"/>
      <c r="E31" s="26"/>
      <c r="F31" s="26"/>
      <c r="G31" s="26"/>
      <c r="H31" s="26"/>
    </row>
    <row r="32" spans="1:8" ht="240" customHeight="1">
      <c r="A32" s="85" t="s">
        <v>419</v>
      </c>
      <c r="B32" s="57"/>
      <c r="C32" s="57"/>
      <c r="D32" s="57"/>
      <c r="E32" s="57"/>
      <c r="F32" s="57"/>
      <c r="G32" s="57"/>
      <c r="H32" s="57"/>
    </row>
    <row r="33" spans="1:8" ht="24" customHeight="1">
      <c r="A33" s="1"/>
      <c r="B33" s="1"/>
      <c r="C33" s="1"/>
      <c r="D33" s="1"/>
      <c r="E33" s="1"/>
      <c r="F33" s="1"/>
      <c r="G33" s="1"/>
      <c r="H33" s="1"/>
    </row>
    <row r="34" spans="1:8" ht="33.950000000000003" customHeight="1">
      <c r="A34" s="27" t="s">
        <v>180</v>
      </c>
      <c r="B34" s="86" t="s">
        <v>332</v>
      </c>
      <c r="C34" s="86"/>
      <c r="D34" s="86"/>
      <c r="E34" s="86"/>
      <c r="F34" s="86"/>
      <c r="G34" s="86"/>
      <c r="H34" s="87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</sheetData>
  <mergeCells count="9">
    <mergeCell ref="B27:H27"/>
    <mergeCell ref="B28:H28"/>
    <mergeCell ref="A32:H32"/>
    <mergeCell ref="B34:H34"/>
    <mergeCell ref="A4:H4"/>
    <mergeCell ref="D6:H6"/>
    <mergeCell ref="D7:H7"/>
    <mergeCell ref="B25:H25"/>
    <mergeCell ref="B26:H26"/>
  </mergeCells>
  <phoneticPr fontId="16" type="noConversion"/>
  <conditionalFormatting sqref="H10:H21">
    <cfRule type="containsText" dxfId="5" priority="1" operator="containsText" text="확정"/>
    <cfRule type="containsText" dxfId="4" priority="2" operator="containsText" text="권장"/>
    <cfRule type="containsText" dxfId="3" priority="3" operator="containsText" text="TBD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DC3E6"/>
  </sheetPr>
  <dimension ref="A1:H45"/>
  <sheetViews>
    <sheetView showGridLines="0" workbookViewId="0">
      <pane ySplit="9" topLeftCell="A10" activePane="bottomLeft" state="frozen"/>
      <selection pane="bottomLeft"/>
    </sheetView>
  </sheetViews>
  <sheetFormatPr defaultRowHeight="14.25"/>
  <cols>
    <col min="1" max="1" width="22" customWidth="1"/>
    <col min="2" max="2" width="10" customWidth="1"/>
    <col min="3" max="3" width="11" customWidth="1"/>
    <col min="4" max="4" width="24" customWidth="1"/>
    <col min="5" max="5" width="25" customWidth="1"/>
    <col min="6" max="6" width="38" customWidth="1"/>
    <col min="7" max="7" width="42" customWidth="1"/>
    <col min="8" max="8" width="14" customWidth="1"/>
  </cols>
  <sheetData>
    <row r="1" spans="1:8" ht="24" customHeight="1">
      <c r="A1" s="1"/>
      <c r="B1" s="1"/>
      <c r="C1" s="1"/>
      <c r="D1" s="1"/>
      <c r="E1" s="1"/>
      <c r="F1" s="1"/>
      <c r="G1" s="1"/>
      <c r="H1" s="1"/>
    </row>
    <row r="2" spans="1:8" ht="24" customHeight="1">
      <c r="A2" s="2" t="s">
        <v>420</v>
      </c>
      <c r="B2" s="1"/>
      <c r="C2" s="1"/>
      <c r="D2" s="1"/>
      <c r="E2" s="1"/>
      <c r="F2" s="1"/>
      <c r="G2" s="1"/>
      <c r="H2" s="1"/>
    </row>
    <row r="3" spans="1:8" ht="24" customHeight="1">
      <c r="A3" s="3"/>
      <c r="B3" s="3"/>
      <c r="C3" s="3"/>
      <c r="D3" s="3"/>
      <c r="E3" s="3"/>
      <c r="F3" s="3"/>
      <c r="G3" s="3"/>
      <c r="H3" s="3"/>
    </row>
    <row r="4" spans="1:8" ht="33.950000000000003" customHeight="1">
      <c r="A4" s="56" t="s">
        <v>57</v>
      </c>
      <c r="B4" s="57"/>
      <c r="C4" s="57"/>
      <c r="D4" s="57"/>
      <c r="E4" s="57"/>
      <c r="F4" s="57"/>
      <c r="G4" s="57"/>
      <c r="H4" s="57"/>
    </row>
    <row r="5" spans="1:8" ht="24" customHeight="1">
      <c r="A5" s="1"/>
      <c r="B5" s="1"/>
      <c r="C5" s="1"/>
      <c r="D5" s="1"/>
      <c r="E5" s="1"/>
      <c r="F5" s="1"/>
      <c r="G5" s="1"/>
      <c r="H5" s="1"/>
    </row>
    <row r="6" spans="1:8" ht="24" customHeight="1">
      <c r="A6" s="21" t="s">
        <v>184</v>
      </c>
      <c r="B6" s="23" t="s">
        <v>58</v>
      </c>
      <c r="C6" s="1" t="s">
        <v>186</v>
      </c>
      <c r="D6" s="57" t="s">
        <v>60</v>
      </c>
      <c r="E6" s="57"/>
      <c r="F6" s="57"/>
      <c r="G6" s="57"/>
      <c r="H6" s="57"/>
    </row>
    <row r="7" spans="1:8" ht="24" customHeight="1">
      <c r="A7" s="22" t="s">
        <v>290</v>
      </c>
      <c r="B7" s="24" t="s">
        <v>291</v>
      </c>
      <c r="C7" s="25" t="s">
        <v>292</v>
      </c>
      <c r="D7" s="84" t="s">
        <v>293</v>
      </c>
      <c r="E7" s="60"/>
      <c r="F7" s="60"/>
      <c r="G7" s="60"/>
      <c r="H7" s="60"/>
    </row>
    <row r="8" spans="1:8" ht="24" customHeight="1">
      <c r="A8" s="1"/>
      <c r="B8" s="1"/>
      <c r="C8" s="1"/>
      <c r="D8" s="1"/>
      <c r="E8" s="1"/>
      <c r="F8" s="1"/>
      <c r="G8" s="1"/>
      <c r="H8" s="1"/>
    </row>
    <row r="9" spans="1:8" ht="24" customHeight="1">
      <c r="A9" s="5" t="s">
        <v>197</v>
      </c>
      <c r="B9" s="9" t="s">
        <v>198</v>
      </c>
      <c r="C9" s="9" t="s">
        <v>199</v>
      </c>
      <c r="D9" s="9" t="s">
        <v>200</v>
      </c>
      <c r="E9" s="9" t="s">
        <v>201</v>
      </c>
      <c r="F9" s="9" t="s">
        <v>105</v>
      </c>
      <c r="G9" s="9" t="s">
        <v>202</v>
      </c>
      <c r="H9" s="6" t="s">
        <v>203</v>
      </c>
    </row>
    <row r="10" spans="1:8" ht="42" customHeight="1">
      <c r="A10" s="8" t="s">
        <v>204</v>
      </c>
      <c r="B10" s="10" t="s">
        <v>205</v>
      </c>
      <c r="C10" s="10" t="s">
        <v>63</v>
      </c>
      <c r="D10" s="4" t="s">
        <v>206</v>
      </c>
      <c r="E10" s="4" t="s">
        <v>421</v>
      </c>
      <c r="F10" s="4" t="s">
        <v>422</v>
      </c>
      <c r="G10" s="4" t="s">
        <v>295</v>
      </c>
      <c r="H10" s="10" t="s">
        <v>166</v>
      </c>
    </row>
    <row r="11" spans="1:8" ht="42" customHeight="1">
      <c r="A11" s="8" t="s">
        <v>211</v>
      </c>
      <c r="B11" s="10" t="s">
        <v>205</v>
      </c>
      <c r="C11" s="10" t="s">
        <v>63</v>
      </c>
      <c r="D11" s="4" t="s">
        <v>206</v>
      </c>
      <c r="E11" s="4" t="s">
        <v>212</v>
      </c>
      <c r="F11" s="4" t="s">
        <v>423</v>
      </c>
      <c r="G11" s="4" t="s">
        <v>297</v>
      </c>
      <c r="H11" s="10" t="s">
        <v>166</v>
      </c>
    </row>
    <row r="12" spans="1:8" ht="42" customHeight="1">
      <c r="A12" s="8" t="s">
        <v>388</v>
      </c>
      <c r="B12" s="10" t="s">
        <v>205</v>
      </c>
      <c r="C12" s="10" t="s">
        <v>219</v>
      </c>
      <c r="D12" s="4" t="s">
        <v>220</v>
      </c>
      <c r="E12" s="4" t="s">
        <v>389</v>
      </c>
      <c r="F12" s="4" t="s">
        <v>390</v>
      </c>
      <c r="G12" s="4" t="s">
        <v>424</v>
      </c>
      <c r="H12" s="10" t="s">
        <v>145</v>
      </c>
    </row>
    <row r="13" spans="1:8" ht="42" customHeight="1">
      <c r="A13" s="8" t="s">
        <v>392</v>
      </c>
      <c r="B13" s="10" t="s">
        <v>205</v>
      </c>
      <c r="C13" s="10" t="s">
        <v>63</v>
      </c>
      <c r="D13" s="4" t="s">
        <v>206</v>
      </c>
      <c r="E13" s="4" t="s">
        <v>389</v>
      </c>
      <c r="F13" s="4" t="s">
        <v>393</v>
      </c>
      <c r="G13" s="4" t="s">
        <v>394</v>
      </c>
      <c r="H13" s="10" t="s">
        <v>145</v>
      </c>
    </row>
    <row r="14" spans="1:8" ht="42" customHeight="1">
      <c r="A14" s="8" t="s">
        <v>395</v>
      </c>
      <c r="B14" s="10" t="s">
        <v>227</v>
      </c>
      <c r="C14" s="10" t="s">
        <v>63</v>
      </c>
      <c r="D14" s="4" t="s">
        <v>425</v>
      </c>
      <c r="E14" s="4" t="s">
        <v>389</v>
      </c>
      <c r="F14" s="4" t="s">
        <v>426</v>
      </c>
      <c r="G14" s="4" t="s">
        <v>427</v>
      </c>
      <c r="H14" s="10" t="s">
        <v>145</v>
      </c>
    </row>
    <row r="15" spans="1:8" ht="42" customHeight="1">
      <c r="A15" s="8" t="s">
        <v>398</v>
      </c>
      <c r="B15" s="10" t="s">
        <v>227</v>
      </c>
      <c r="C15" s="10" t="s">
        <v>63</v>
      </c>
      <c r="D15" s="4" t="s">
        <v>425</v>
      </c>
      <c r="E15" s="4" t="s">
        <v>399</v>
      </c>
      <c r="F15" s="4" t="s">
        <v>428</v>
      </c>
      <c r="G15" s="4" t="s">
        <v>429</v>
      </c>
      <c r="H15" s="10" t="s">
        <v>145</v>
      </c>
    </row>
    <row r="16" spans="1:8" ht="42" customHeight="1">
      <c r="A16" s="8" t="s">
        <v>372</v>
      </c>
      <c r="B16" s="10" t="s">
        <v>227</v>
      </c>
      <c r="C16" s="10" t="s">
        <v>63</v>
      </c>
      <c r="D16" s="4" t="s">
        <v>425</v>
      </c>
      <c r="E16" s="4" t="s">
        <v>373</v>
      </c>
      <c r="F16" s="4" t="s">
        <v>430</v>
      </c>
      <c r="G16" s="4" t="s">
        <v>431</v>
      </c>
      <c r="H16" s="10" t="s">
        <v>145</v>
      </c>
    </row>
    <row r="17" spans="1:8" ht="42" customHeight="1">
      <c r="A17" s="8" t="s">
        <v>376</v>
      </c>
      <c r="B17" s="10" t="s">
        <v>227</v>
      </c>
      <c r="C17" s="10" t="s">
        <v>63</v>
      </c>
      <c r="D17" s="4" t="s">
        <v>425</v>
      </c>
      <c r="E17" s="4" t="s">
        <v>377</v>
      </c>
      <c r="F17" s="4" t="s">
        <v>432</v>
      </c>
      <c r="G17" s="4" t="s">
        <v>433</v>
      </c>
      <c r="H17" s="10" t="s">
        <v>145</v>
      </c>
    </row>
    <row r="18" spans="1:8" ht="24" customHeight="1">
      <c r="A18" s="1"/>
      <c r="B18" s="1"/>
      <c r="C18" s="1"/>
      <c r="D18" s="1"/>
      <c r="E18" s="1"/>
      <c r="F18" s="1"/>
      <c r="G18" s="1"/>
      <c r="H18" s="1"/>
    </row>
    <row r="19" spans="1:8" ht="24" customHeight="1">
      <c r="A19" s="1"/>
      <c r="B19" s="1"/>
      <c r="C19" s="1"/>
      <c r="D19" s="1"/>
      <c r="E19" s="1"/>
      <c r="F19" s="1"/>
      <c r="G19" s="1"/>
      <c r="H19" s="1"/>
    </row>
    <row r="20" spans="1:8" ht="24" customHeight="1">
      <c r="A20" s="12" t="s">
        <v>244</v>
      </c>
      <c r="B20" s="12"/>
      <c r="C20" s="12"/>
      <c r="D20" s="12"/>
      <c r="E20" s="12"/>
      <c r="F20" s="12"/>
      <c r="G20" s="12"/>
      <c r="H20" s="12"/>
    </row>
    <row r="21" spans="1:8" ht="24" customHeight="1">
      <c r="A21" s="14">
        <v>1</v>
      </c>
      <c r="B21" s="59" t="s">
        <v>434</v>
      </c>
      <c r="C21" s="60"/>
      <c r="D21" s="60"/>
      <c r="E21" s="60"/>
      <c r="F21" s="60"/>
      <c r="G21" s="60"/>
      <c r="H21" s="60"/>
    </row>
    <row r="22" spans="1:8" ht="24" customHeight="1">
      <c r="A22" s="14">
        <v>2</v>
      </c>
      <c r="B22" s="59" t="s">
        <v>435</v>
      </c>
      <c r="C22" s="60"/>
      <c r="D22" s="60"/>
      <c r="E22" s="60"/>
      <c r="F22" s="60"/>
      <c r="G22" s="60"/>
      <c r="H22" s="60"/>
    </row>
    <row r="23" spans="1:8" ht="24" customHeight="1">
      <c r="A23" s="14">
        <v>3</v>
      </c>
      <c r="B23" s="59" t="s">
        <v>436</v>
      </c>
      <c r="C23" s="60"/>
      <c r="D23" s="60"/>
      <c r="E23" s="60"/>
      <c r="F23" s="60"/>
      <c r="G23" s="60"/>
      <c r="H23" s="60"/>
    </row>
    <row r="24" spans="1:8" ht="24" customHeight="1">
      <c r="A24" s="14">
        <v>4</v>
      </c>
      <c r="B24" s="59" t="s">
        <v>437</v>
      </c>
      <c r="C24" s="60"/>
      <c r="D24" s="60"/>
      <c r="E24" s="60"/>
      <c r="F24" s="60"/>
      <c r="G24" s="60"/>
      <c r="H24" s="60"/>
    </row>
    <row r="25" spans="1:8" ht="24" customHeight="1">
      <c r="A25" s="1"/>
      <c r="B25" s="1"/>
      <c r="C25" s="1"/>
      <c r="D25" s="1"/>
      <c r="E25" s="1"/>
      <c r="F25" s="1"/>
      <c r="G25" s="1"/>
      <c r="H25" s="1"/>
    </row>
    <row r="26" spans="1:8" ht="24" customHeight="1">
      <c r="A26" s="1"/>
      <c r="B26" s="1"/>
      <c r="C26" s="1"/>
      <c r="D26" s="1"/>
      <c r="E26" s="1"/>
      <c r="F26" s="1"/>
      <c r="G26" s="1"/>
      <c r="H26" s="1"/>
    </row>
    <row r="27" spans="1:8" ht="24" customHeight="1">
      <c r="A27" s="26" t="s">
        <v>330</v>
      </c>
      <c r="B27" s="26"/>
      <c r="C27" s="26"/>
      <c r="D27" s="26"/>
      <c r="E27" s="26"/>
      <c r="F27" s="26"/>
      <c r="G27" s="26"/>
      <c r="H27" s="26"/>
    </row>
    <row r="28" spans="1:8" ht="176.1" customHeight="1">
      <c r="A28" s="85" t="s">
        <v>438</v>
      </c>
      <c r="B28" s="57"/>
      <c r="C28" s="57"/>
      <c r="D28" s="57"/>
      <c r="E28" s="57"/>
      <c r="F28" s="57"/>
      <c r="G28" s="57"/>
      <c r="H28" s="57"/>
    </row>
    <row r="29" spans="1:8" ht="24" customHeight="1">
      <c r="A29" s="1"/>
      <c r="B29" s="1"/>
      <c r="C29" s="1"/>
      <c r="D29" s="1"/>
      <c r="E29" s="1"/>
      <c r="F29" s="1"/>
      <c r="G29" s="1"/>
      <c r="H29" s="1"/>
    </row>
    <row r="30" spans="1:8" ht="33.950000000000003" customHeight="1">
      <c r="A30" s="27" t="s">
        <v>180</v>
      </c>
      <c r="B30" s="86" t="s">
        <v>332</v>
      </c>
      <c r="C30" s="86"/>
      <c r="D30" s="86"/>
      <c r="E30" s="86"/>
      <c r="F30" s="86"/>
      <c r="G30" s="86"/>
      <c r="H30" s="87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</sheetData>
  <mergeCells count="9">
    <mergeCell ref="B23:H23"/>
    <mergeCell ref="B24:H24"/>
    <mergeCell ref="A28:H28"/>
    <mergeCell ref="B30:H30"/>
    <mergeCell ref="A4:H4"/>
    <mergeCell ref="D6:H6"/>
    <mergeCell ref="D7:H7"/>
    <mergeCell ref="B21:H21"/>
    <mergeCell ref="B22:H22"/>
  </mergeCells>
  <phoneticPr fontId="16" type="noConversion"/>
  <conditionalFormatting sqref="H10:H17">
    <cfRule type="containsText" dxfId="2" priority="1" operator="containsText" text="확정"/>
    <cfRule type="containsText" dxfId="1" priority="2" operator="containsText" text="권장"/>
    <cfRule type="containsText" dxfId="0" priority="3" operator="containsText" text="TBD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개요</vt:lpstr>
      <vt:lpstr>공통 파라미터</vt:lpstr>
      <vt:lpstr>crc8</vt:lpstr>
      <vt:lpstr>tx_frame_generator</vt:lpstr>
      <vt:lpstr>bfsk_mapper</vt:lpstr>
      <vt:lpstr>bfsk_carrier_gen</vt:lpstr>
      <vt:lpstr>tx_fsm</vt:lpstr>
      <vt:lpstr>optical_tx_top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kccistc</cp:lastModifiedBy>
  <dcterms:modified xsi:type="dcterms:W3CDTF">2026-09-15T06:43:27Z</dcterms:modified>
</cp:coreProperties>
</file>